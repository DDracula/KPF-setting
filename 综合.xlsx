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桌面\设定\KPF-setting\"/>
    </mc:Choice>
  </mc:AlternateContent>
  <xr:revisionPtr revIDLastSave="0" documentId="13_ncr:1_{67A7D591-F43B-4365-8BFC-3261C82C671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新版人物" sheetId="7" r:id="rId1"/>
    <sheet name="议会" sheetId="3" r:id="rId2"/>
    <sheet name="军事思想" sheetId="5" r:id="rId3"/>
    <sheet name="决议设计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13" i="3" l="1"/>
  <c r="P12" i="3"/>
  <c r="N12" i="3"/>
  <c r="L12" i="3"/>
  <c r="J12" i="3"/>
  <c r="H12" i="3"/>
  <c r="F12" i="3"/>
  <c r="D12" i="3"/>
  <c r="B12" i="3"/>
  <c r="R11" i="3"/>
  <c r="R10" i="3"/>
  <c r="R9" i="3"/>
  <c r="R8" i="3"/>
  <c r="R7" i="3"/>
  <c r="R6" i="3"/>
  <c r="R5" i="3"/>
  <c r="R4" i="3"/>
  <c r="R3" i="3"/>
  <c r="R2" i="3"/>
  <c r="R12" i="3" l="1"/>
</calcChain>
</file>

<file path=xl/sharedStrings.xml><?xml version="1.0" encoding="utf-8"?>
<sst xmlns="http://schemas.openxmlformats.org/spreadsheetml/2006/main" count="540" uniqueCount="347">
  <si>
    <t>马塞尔·加香 Marcel Cachin || PCOP</t>
  </si>
  <si>
    <t>马赛尔·戴亚 Marcel Déat || PSF</t>
  </si>
  <si>
    <t>乔治·瓦卢瓦 Georges Valois || CNS || 胜利的政治家</t>
  </si>
  <si>
    <t>加斯东·比约特 Gaston Billotte</t>
  </si>
  <si>
    <t>让·龙格 Jean Longuet || PCOP</t>
  </si>
  <si>
    <t>阿德里安·马凯 Adrien Marquet || PSF</t>
  </si>
  <si>
    <t>雅克·多里奥特 Jacques Doriot || PSF</t>
  </si>
  <si>
    <t>爱德华·贝尔特 Édouard Berth || CNS || 索雷尔的艾克曼</t>
  </si>
  <si>
    <t>勒内·克雷韦尔 René Crevel || CNS || “托洛斯基的幽灵”</t>
  </si>
  <si>
    <t>乔治·布朗夏尔 Georges Blanchard</t>
  </si>
  <si>
    <t>夏尔·拉波波特 Charles Rappoport || PCOP</t>
  </si>
  <si>
    <t>加斯顿·勒瓦尔 Gaston Leval || AFA || 合作社倡导者</t>
  </si>
  <si>
    <t>皮埃尔·雷诺德尔 Pierre Renaudel || PSF</t>
  </si>
  <si>
    <t>阿尔弗雷德·法布尔-卢斯 Alfred Fabre-Luce || PSF</t>
  </si>
  <si>
    <t>德里厄·拉罗谢尔 Drieu La Rochelle || CNS || 青年王子</t>
  </si>
  <si>
    <t>米歇尔·雷里斯 Michel Leiris || CNS || 激进去殖民化</t>
  </si>
  <si>
    <t>保罗·勒让蒂奥姆 Paul Legentilhomme</t>
  </si>
  <si>
    <t>让-巴蒂斯特·勒巴斯 Jean-Baptiste Lebas || PCOP</t>
  </si>
  <si>
    <t>巴勒泰米·蒙塔尼翁 Barthélémy Montagnon || PSF</t>
  </si>
  <si>
    <t>皮埃尔·赛洛 Pierre Celor || PSF</t>
  </si>
  <si>
    <t>克莱芒·勃朗 Clément Blanc</t>
  </si>
  <si>
    <t>罗歇·萨朗格罗 Roger Salengro || PCOP</t>
  </si>
  <si>
    <t>埃米尔.普热 Émile Pouget || AFA || 富有影响力的记者</t>
  </si>
  <si>
    <t>安托万·卡雷尔 Marx Dormoy || PSF</t>
  </si>
  <si>
    <t>亨利·巴贝 Henri Barbé || PSF</t>
  </si>
  <si>
    <t>西蒙·萨比亚尼 Simon Sabiani || CNS || 黑手党教父</t>
  </si>
  <si>
    <t>罗伯特·德斯诺斯 Robert Desnos || CNS</t>
  </si>
  <si>
    <t>路易·比松 Louis Buisson</t>
  </si>
  <si>
    <t>让·齐罗姆斯基 Jean Zyromski || PCOP</t>
  </si>
  <si>
    <t>安德烈·科洛默 André Colomer || AFA || 理想主义诗人</t>
  </si>
  <si>
    <t>路易·瓦隆 Louis Vallon || PSF</t>
  </si>
  <si>
    <t>贝特朗·德·茹弗内尔 Bertrand de Jouvenel || PSF</t>
  </si>
  <si>
    <t>马塞尔·布卡德 Marcel Bucard || CNS || 口若悬河的教徒</t>
  </si>
  <si>
    <t>马克斯·恩斯特 Max Ernst || CNS || 天赋异禀的反讽者</t>
  </si>
  <si>
    <t>拉乌尔·卡斯泰 Raoul Castex</t>
  </si>
  <si>
    <t>亨利·热拉尔 Henri Gérard</t>
  </si>
  <si>
    <t>内斯托·马赫诺 Nestor Makhno || AFA || 黑军领袖</t>
  </si>
  <si>
    <t>莱昂·布鲁姆 Léon Blum || PCOP</t>
  </si>
  <si>
    <t>埃米尔·阿曼德 Émile Armand || AFA || 多产的作家</t>
  </si>
  <si>
    <t>让·丰特努瓦 Jean Fontenoy || PSF</t>
  </si>
  <si>
    <t>菲利普·巴雷斯 Philippe Barrès || CNS || 土地与逝者</t>
  </si>
  <si>
    <t>乔治·巴塔耶 Georges Bataille || CNS</t>
  </si>
  <si>
    <t>马塞尔·让苏尔 Marcel Gensoul</t>
  </si>
  <si>
    <t>皮埃尔·塞马尔 Pierre Semard || POU</t>
  </si>
  <si>
    <t>文森特·奥里奥尔 Vincent Auriol || PCOP</t>
  </si>
  <si>
    <t>让.格拉夫 Jean Grave || AFA || 著名报刊编辑</t>
  </si>
  <si>
    <t>勒·柯布西耶 Le Corbusier || CNS || 光辉都市</t>
  </si>
  <si>
    <t>安德烈·布勒东 André Breton || CNS</t>
  </si>
  <si>
    <t>路易-拉扎尔·卡恩 Louis-Lazare Kahn</t>
  </si>
  <si>
    <t>雅克·杜克洛 Jacques Duclos || POU</t>
  </si>
  <si>
    <t>马赛尔·莫斯 Marcel Mauss || PCOP</t>
  </si>
  <si>
    <t>达尼埃尔·介朗 Daniel Guérin || AFA</t>
  </si>
  <si>
    <t>莫普萨·斯特恩海姆 Mopsa Sternheim || CNS</t>
  </si>
  <si>
    <t>埃米尔·米瑟利耶 Émile Muselier</t>
  </si>
  <si>
    <t>梅·皮奎雷 May Picqueray || AFA || 坚毅的革命工人</t>
  </si>
  <si>
    <t>塞尔吉奥·帕农齐奥 Sergio Panunzio || CNS || 法西斯主义异端</t>
  </si>
  <si>
    <t>阿方斯·劳伦奇克 Alphonse Laurencic || CNS</t>
  </si>
  <si>
    <t>夏尔·普拉东 Charles Platon</t>
  </si>
  <si>
    <t>勒内·弗雷蒙 René Frémont || AFA || 激进反战主义者</t>
  </si>
  <si>
    <t>奥古斯托·兰齐洛 Agosto Lanzillo || CNS || 索雷尔的狼群</t>
  </si>
  <si>
    <t>雅克·拉康 Jacques Lacan || CNS</t>
  </si>
  <si>
    <t>罗贝尔·若雅尔 Robert Jaujard</t>
  </si>
  <si>
    <t>费尔南·德斯普雷 Fernand Desprès || AFA || 无政府主义宣传家</t>
  </si>
  <si>
    <t>皮埃尔·仲马 Pierre Dumas || CNS || 狂热的皈依者</t>
  </si>
  <si>
    <t>皮埃尔·纳维尔 Pierre Naville  || CNS</t>
  </si>
  <si>
    <t>保罗·奥尔托利 Paul Ortoli</t>
  </si>
  <si>
    <t>安德烈·普吕多莫 André Prudhommeaux || AFA || 农学学者</t>
  </si>
  <si>
    <t>古斯塔夫·艾尔威 Gustave Hervé || CNS</t>
  </si>
  <si>
    <t>本杰明·佩雷 Benjamin Péret || CNS</t>
  </si>
  <si>
    <t>路易·德·维尔福斯 Louis de Villefosse</t>
  </si>
  <si>
    <t>路易斯·勒库安 Louis Lecoin || AFA || 不驯服的园丁</t>
  </si>
  <si>
    <t>迭戈·布罗塞 Diégo Brosset || CNS</t>
  </si>
  <si>
    <t>安托南·阿尔托 Antonin Artaud || CNS</t>
  </si>
  <si>
    <t>雷蒙·穆莱克 Raymond Moullec</t>
  </si>
  <si>
    <t>马里-皮埃尔·柯尼希 Marie-Pierre Kœnig || CNS</t>
  </si>
  <si>
    <t>瓦伦丁·登考斯 Valentine Dencausse || CNS</t>
  </si>
  <si>
    <t>罗贝尔·埃斯诺-佩尔特里 Robert Esnault-Pelterie</t>
  </si>
  <si>
    <t>乔治·马尔罗 Georges Malraux || CNS</t>
  </si>
  <si>
    <t>马夏尔·亨利·瓦兰 Martial Henri Valin</t>
  </si>
  <si>
    <t>弗朗索瓦·德利纳雷斯 François de Linares || CNS</t>
  </si>
  <si>
    <t>玛丽斯·巴斯蒂耶 Maryse Bastié</t>
  </si>
  <si>
    <t>拉乌尔·萨兰Raoul Salan || CNS</t>
  </si>
  <si>
    <t>维克托·莱昂·埃内斯特·德南 Victor Léon Ernest Denain</t>
  </si>
  <si>
    <t>弗朗索瓦·达尔朗 François Darlan || CNS</t>
  </si>
  <si>
    <t>阿尔弗雷德·厄尔托 Alfred Heurtaux</t>
  </si>
  <si>
    <t>加布里埃尔·奥方 Gabriel Auphan || CNS</t>
  </si>
  <si>
    <t>乔治·吉内梅 Georges Guynemer</t>
  </si>
  <si>
    <t>让-爱德华·韦尔诺 Jean-Édouard Verneau</t>
  </si>
  <si>
    <t>乔治·勒韦尔 Georges Revers</t>
  </si>
  <si>
    <t>亨利·阿德林 Henri Adeline</t>
  </si>
  <si>
    <t>奥贝尔·弗雷尔 Aubert Frère</t>
  </si>
  <si>
    <t>安德烈·鲍里斯 André Boris</t>
  </si>
  <si>
    <t>夏尔·蓬塞 Charles Pomaret || URSRS</t>
  </si>
  <si>
    <t>阿纳托尔·德蒙齐 Anatole de Monzie || URSRS</t>
  </si>
  <si>
    <t>温和派</t>
  </si>
  <si>
    <t>激进派</t>
  </si>
  <si>
    <t>共产党派</t>
  </si>
  <si>
    <t>无政府派</t>
  </si>
  <si>
    <t>新社会主义派</t>
  </si>
  <si>
    <t>革命行动派</t>
  </si>
  <si>
    <t>守旧派</t>
  </si>
  <si>
    <t>青年派</t>
  </si>
  <si>
    <t>合计</t>
  </si>
  <si>
    <t>CNS 国家工团主义联盟</t>
  </si>
  <si>
    <t>PSF 法国社会党</t>
  </si>
  <si>
    <t>POU 联合工人党</t>
  </si>
  <si>
    <t>CGT 总工会</t>
  </si>
  <si>
    <t>PCOP 工农联合共产党</t>
  </si>
  <si>
    <t>AFA 联邦无政府主义者协会</t>
  </si>
  <si>
    <t>URSRS 共和社会主义-激进社会主义联盟</t>
  </si>
  <si>
    <t>FCF 法国基督徒联盟</t>
  </si>
  <si>
    <t>FP 农民阵线</t>
  </si>
  <si>
    <t>ETC 其他党派或独立人士</t>
  </si>
  <si>
    <t>战术运用</t>
  </si>
  <si>
    <t>装备体系</t>
  </si>
  <si>
    <t>指挥结构</t>
  </si>
  <si>
    <t>组织构成</t>
  </si>
  <si>
    <t>体制属性</t>
  </si>
  <si>
    <t>成果</t>
  </si>
  <si>
    <t>代表人物</t>
  </si>
  <si>
    <t>机动化-阵地化</t>
  </si>
  <si>
    <t>装甲-火炮</t>
  </si>
  <si>
    <t>集中型-任务型</t>
  </si>
  <si>
    <t>专业化-民兵化</t>
  </si>
  <si>
    <t>国家化-政治化</t>
  </si>
  <si>
    <t>闪电战</t>
  </si>
  <si>
    <t>机动化</t>
  </si>
  <si>
    <t>装甲主导</t>
  </si>
  <si>
    <t>集中型</t>
  </si>
  <si>
    <t>专业化</t>
  </si>
  <si>
    <t>国家化</t>
  </si>
  <si>
    <t>集成式闪电战</t>
  </si>
  <si>
    <t>夏尔·德莱斯特兰</t>
  </si>
  <si>
    <t>———</t>
  </si>
  <si>
    <t>——</t>
  </si>
  <si>
    <t>政治化</t>
  </si>
  <si>
    <t>任务型</t>
  </si>
  <si>
    <t>任务型闪电战</t>
  </si>
  <si>
    <t>涅斯托尔·马赫诺</t>
  </si>
  <si>
    <t>纵深作战</t>
  </si>
  <si>
    <t>火力主导</t>
  </si>
  <si>
    <t>大纵深作战</t>
  </si>
  <si>
    <t>艾梅·杜芒</t>
  </si>
  <si>
    <t>协同纵深作战</t>
  </si>
  <si>
    <t>安托万·贝图阿尔</t>
  </si>
  <si>
    <t>持续作战</t>
  </si>
  <si>
    <t>阵地化</t>
  </si>
  <si>
    <t>总体持续作战</t>
  </si>
  <si>
    <t>民兵化</t>
  </si>
  <si>
    <t>协同持续作战</t>
  </si>
  <si>
    <t>加里布埃尔·布格兰</t>
  </si>
  <si>
    <t>递进作战</t>
  </si>
  <si>
    <t>有条不絮作战</t>
  </si>
  <si>
    <t>莫里斯·甘末林</t>
  </si>
  <si>
    <t>弹性递进作战</t>
  </si>
  <si>
    <t>亨利·热拉尔</t>
  </si>
  <si>
    <t>名称</t>
  </si>
  <si>
    <t>整合旧共和国工业</t>
  </si>
  <si>
    <t>鼓励小作坊合并</t>
  </si>
  <si>
    <t>推广《公社工业安全标准》</t>
  </si>
  <si>
    <t>在工厂建立工会支部</t>
  </si>
  <si>
    <t>在集体化农村派遣工会指导员</t>
  </si>
  <si>
    <t>工会会员取代旧官僚</t>
  </si>
  <si>
    <t>建立马西斯汽车合作社</t>
  </si>
  <si>
    <t>建立勒鲁瓦建材公社</t>
  </si>
  <si>
    <t>建立斯奈克玛飞行俱乐部</t>
  </si>
  <si>
    <t>建立塞夫朗炸药合作社</t>
  </si>
  <si>
    <t>建立法兰西农业化肥合作社</t>
  </si>
  <si>
    <t>补贴整合手工业厂</t>
  </si>
  <si>
    <t>普及电力及自动化流水线</t>
  </si>
  <si>
    <t>鼓励技术工人移民</t>
  </si>
  <si>
    <t>提供联邦专项发展基金</t>
  </si>
  <si>
    <t>拆分较大公社</t>
  </si>
  <si>
    <t>废除联邦货币</t>
  </si>
  <si>
    <t>建立联邦工农互助交易所</t>
  </si>
  <si>
    <t>在各地建立互助社</t>
  </si>
  <si>
    <t>建立工农礼物委员会</t>
  </si>
  <si>
    <t>我们的礼物，我们的自由！（改了个名字）</t>
  </si>
  <si>
    <t>强制自给农进厂</t>
  </si>
  <si>
    <t>合并自给农舍</t>
  </si>
  <si>
    <t>裁撤轻工业补贴</t>
  </si>
  <si>
    <t>建立人民谷物供销社</t>
  </si>
  <si>
    <t>建立人民农业机械制造局</t>
  </si>
  <si>
    <t>扩大城市就业机会</t>
  </si>
  <si>
    <t>颁布勒普兰法</t>
  </si>
  <si>
    <t>赎买亏损产业</t>
  </si>
  <si>
    <t>强制私有产业整合</t>
  </si>
  <si>
    <t>可视性</t>
  </si>
  <si>
    <t>经济改革</t>
  </si>
  <si>
    <t>可行性</t>
  </si>
  <si>
    <t>完成国策《国家经济规范化》</t>
  </si>
  <si>
    <t>完成国策《更多的工会指导权》</t>
  </si>
  <si>
    <t>完成更多的工会领导权</t>
  </si>
  <si>
    <t>完成协同产业进步（后略）</t>
  </si>
  <si>
    <t>只能在农村地区使用</t>
  </si>
  <si>
    <t>完成《自愿商品交易所》（有三个）</t>
  </si>
  <si>
    <t>经济大于等于经济扩张</t>
  </si>
  <si>
    <t>popw popp满意度均大于50%</t>
  </si>
  <si>
    <t>完成《不为回报的礼物》（后面有三个）</t>
  </si>
  <si>
    <t>工人农民支持率大于等于60%</t>
  </si>
  <si>
    <t>≥经济腾飞</t>
  </si>
  <si>
    <t>完成国策《放弃落后产业》（设计了三个）</t>
  </si>
  <si>
    <t>必须完成《强制自给农进厂》</t>
  </si>
  <si>
    <t>完成国策《放弃并非遗弃》</t>
  </si>
  <si>
    <t>冷却时间/仅一次</t>
  </si>
  <si>
    <t>仅一次</t>
  </si>
  <si>
    <t>仅有一次</t>
  </si>
  <si>
    <t>可重复</t>
  </si>
  <si>
    <t>均为仅有一次</t>
  </si>
  <si>
    <t>均为仅有一次，但这个是针对于所有地区民工大于等于2的地区可用一次</t>
  </si>
  <si>
    <t>移除时间</t>
  </si>
  <si>
    <t>120（后同）</t>
  </si>
  <si>
    <t>90天</t>
  </si>
  <si>
    <t>瞬时</t>
  </si>
  <si>
    <t>90天（后同）</t>
  </si>
  <si>
    <t>120天</t>
  </si>
  <si>
    <t>210天</t>
  </si>
  <si>
    <t>瞬间完成</t>
  </si>
  <si>
    <t>180天</t>
  </si>
  <si>
    <t>消耗（pp/ep）</t>
  </si>
  <si>
    <t>30pp</t>
  </si>
  <si>
    <t>20pp</t>
  </si>
  <si>
    <t>50pp</t>
  </si>
  <si>
    <t>50pp+50ep（后同）</t>
  </si>
  <si>
    <t>50ep</t>
  </si>
  <si>
    <t>30ep</t>
  </si>
  <si>
    <t>40ep</t>
  </si>
  <si>
    <t>20ep</t>
  </si>
  <si>
    <t>50ep+30pp 且结束时都会在消费品系数的乘区加5%（后同）</t>
  </si>
  <si>
    <t>100pp 80ep</t>
  </si>
  <si>
    <t>80ep</t>
  </si>
  <si>
    <t>持续效果</t>
  </si>
  <si>
    <t>月度pp-0.1 月度ev-0.1 月度eq+0.2</t>
  </si>
  <si>
    <t>月度eq-0.5 月度ev-0.3 月度ib-0.4</t>
  </si>
  <si>
    <t>月度ib-0.3 月度eq+0.1 月度cp-0.5</t>
  </si>
  <si>
    <t>建造速度-5 生活消费品系数+10% 工厂产出-5</t>
  </si>
  <si>
    <t>建造速度-10 工厂产出-5</t>
  </si>
  <si>
    <t>月度pp-10</t>
  </si>
  <si>
    <t>月度ev-0.2 月度eae+0.1 月度eib-0.2</t>
  </si>
  <si>
    <t>月度ev+0.1 月度eq-0.2 月度el-0.3 生活消费品+10% pp获取-0.1</t>
  </si>
  <si>
    <t>月度eib+0.1 ev-0.4 eq-0.4 生活消费品+10% pp获取-0.1</t>
  </si>
  <si>
    <t xml:space="preserve">月度ev-0.4 eib-0.3 加3%基础消费品期望 </t>
  </si>
  <si>
    <t xml:space="preserve">月度ev-0.5 eip-0.5 eq+0.4 el-0.3 </t>
  </si>
  <si>
    <t>基础生活消费品期望+2% 月度ev-0.3 eip-0.4</t>
  </si>
  <si>
    <t>消费品系数加成10% 月度ev-0.4</t>
  </si>
  <si>
    <t>生活消费品系数加成+80%</t>
  </si>
  <si>
    <t>月度ev+0.5 eib+0.1 eq-0.4</t>
  </si>
  <si>
    <t>月度ev+0.4 eam eae eaa+0.2 eq-0.3</t>
  </si>
  <si>
    <t>触发效果</t>
  </si>
  <si>
    <t>移除效果</t>
  </si>
  <si>
    <t>ib+2 ev+2 ps+1</t>
  </si>
  <si>
    <t>ps+5 pl+5 ev+3 ib+2</t>
  </si>
  <si>
    <t>ic+5 ev+2 ps+2 工人满意度+1 官僚满意度+1</t>
  </si>
  <si>
    <t>工人势力+2 工人满意度+2 官僚势力和满意度均-2</t>
  </si>
  <si>
    <t>工会势力+2 工会满意度-2 农民满意度+5 生活消费品系数-10</t>
  </si>
  <si>
    <t>官僚满意度势力-2 工人势力满意度+2</t>
  </si>
  <si>
    <t>建造速度+5% 在诺曼底+2民工 eib+2</t>
  </si>
  <si>
    <t>eia+2 在法兰西岛+2军 eib+2</t>
  </si>
  <si>
    <t>el+4 eq-2 eib+3 在曼恩+2民</t>
  </si>
  <si>
    <t>eam+2 eae+2 eaa+1 eq+4 popp和popw满意度+2</t>
  </si>
  <si>
    <t>在法兰西岛+1民 +2eq +2el -2ei popm满意度和势力-2 popw满意度势力+2</t>
  </si>
  <si>
    <t>+5%建造速度（持续365天）eib+2 eip+2 el+2 popw+2满意度</t>
  </si>
  <si>
    <t>使用决议地区+1联邦民工，eq+5 eip-3 eaa+5 eae+2 eam+2</t>
  </si>
  <si>
    <t>我的设计思路是创建一个互助经济专属的idea 每一座生产消费品的工厂都可以月度+ev+0.2 eam+0.3 eaa+0.1 eq+0.5。但是同时作出限制，把消费品涨到100及以上就不能再点决议，除非它降下来</t>
  </si>
  <si>
    <t>popw popb满意度-2 popp满意度+4 popm满意度+0.5 el+4 eam-2 eae-1 eq+4</t>
  </si>
  <si>
    <t>eq+4 ev-2 工农满意度+0.5 其他满意度-4 （这是后面《礼物而非货币！》《建立联邦工农互助交易所》的前提）</t>
  </si>
  <si>
    <t>ev+5 eam+2 eae+2 eaa+2 eq+2 el+2  除军人和官僚外其他人满意度+4</t>
  </si>
  <si>
    <t>在当地＋一个联邦民工 eq+5 el+3 （该决议可在城市使用，且《不为回报的礼物》完成后可以在城市使用《提供联邦专项发展基金》）</t>
  </si>
  <si>
    <t>ev-4 eam eae eaa eq+4 el+2 且工人农民支持率+4 影响力+1 官僚影响力-2</t>
  </si>
  <si>
    <t>生活消费品基础期望+10% popb满意度-10 popa无影响 其余满意度均+8 势力+2 popb势力-8 获得8座地图外工厂 ev+10 eib eip+5 eam eae eaa eq el+8 完成后社会主义市场效果×2 反之若没完成这个决议就点社会主义市场则永远不会有这个×2的加成</t>
  </si>
  <si>
    <t>popp满意度势力-3 popw势力+3 ev+5 eib+3 eq-4 eip-1</t>
  </si>
  <si>
    <t>popp满意度势力-3 popb满意度势力+3 ev+5 eam+4 eae eaa+2 eq-4</t>
  </si>
  <si>
    <t>生活消费品系数-10% ev-3 eq-4 eib-2 eip+2</t>
  </si>
  <si>
    <t>eq+4 el+2 ev+4 popp满意度+3 eib+1</t>
  </si>
  <si>
    <t>eam eaa eae+3 el+4 eq+4 ev-5 el+3 eib+2 popp满意度+3</t>
  </si>
  <si>
    <t>完成前述两个决议以后我建议可以开一个持续180天的任务，必须在180天内完成后续的《放弃并非遗弃》里面的促进农业的决议（三个都要做完，我标记了）</t>
  </si>
  <si>
    <t>民用工厂大于等于90（也可设为80）</t>
  </si>
  <si>
    <t>eib eip+3 ev+2 eq+2 popw popp满意度+3</t>
  </si>
  <si>
    <t>80pp+80ep</t>
  </si>
  <si>
    <t>40pp</t>
  </si>
  <si>
    <t>与前面一个决议互斥</t>
  </si>
  <si>
    <t>ev+5 popm满意度+2 popw满意度+2 eib eip-2 eq-1</t>
  </si>
  <si>
    <t>eib eip+4 eq-2 el+2 eia+1</t>
  </si>
  <si>
    <t>和上一个决议的持续效果和移除效果基本一样，免除持续效果里面的生活消费品惩罚和pp扣除，但是在最后追加eq-2 ev-2 popm满意度-10势力-5 popw满意度-2 除popm外每一个势力都+1</t>
  </si>
  <si>
    <t>完成《注重落后地区》</t>
  </si>
  <si>
    <t>完成《扩张经济优势》（后同）</t>
  </si>
  <si>
    <t>仅2次</t>
  </si>
  <si>
    <t xml:space="preserve">经济数值
eib-2 
eip-3 
eia-1 
eam+5
eae+5
eaa+5 
eq+5 
el+3 
ei+1 
人群影响力
popsw-1
popp+3 
popm-1 
popb-1 
人群满意度
popsp+4
popsm-2
popsb-1
</t>
  </si>
  <si>
    <t xml:space="preserve">洛林＋2民
经济数值
eib+2 
eip+3 
</t>
  </si>
  <si>
    <t>占用2民工
月度变化
ev-0.3 
eq-0.2 
ei+0.1 
（后同）</t>
  </si>
  <si>
    <t>建立中央计划委员会</t>
  </si>
  <si>
    <t>完成国策《中央计划委员会》</t>
  </si>
  <si>
    <t>30天</t>
  </si>
  <si>
    <t>100pp</t>
  </si>
  <si>
    <t>从这里开始</t>
  </si>
  <si>
    <t>日pp-0.4 ev-0.2 生活消费品系数加成20%</t>
  </si>
  <si>
    <t xml:space="preserve">日pp-0.3 生活消费品系数+10% 月度ev-0.4 eq+0.4 </t>
  </si>
  <si>
    <t>日pp-0.5 生活消费品系数+20% ev-0.6 eq+0.3 eam eae eaa+0.3 el+0.2</t>
  </si>
  <si>
    <t>日pp-0.4 生活消费品系数+20% ev+0.4 eq+0.1 eib+0.2</t>
  </si>
  <si>
    <t>日pp-0.3 生活消费品系数+10% ev-0.4 eq-0.4</t>
  </si>
  <si>
    <t>欧仁·弗罗 Eugène Frot || URSRS</t>
  </si>
  <si>
    <t>埃内斯特·珀蒂</t>
  </si>
  <si>
    <t>皮埃尔·莫纳特 Pierre Monatte || POU</t>
    <phoneticPr fontId="8" type="noConversion"/>
  </si>
  <si>
    <t>夏尔·蓬塞 Charles Pomaret || URSRS</t>
    <phoneticPr fontId="8" type="noConversion"/>
  </si>
  <si>
    <t>CCSP</t>
    <phoneticPr fontId="8" type="noConversion"/>
  </si>
  <si>
    <t>CBGT</t>
    <phoneticPr fontId="8" type="noConversion"/>
  </si>
  <si>
    <t>DFA</t>
    <phoneticPr fontId="8" type="noConversion"/>
  </si>
  <si>
    <t>DEA</t>
    <phoneticPr fontId="8" type="noConversion"/>
  </si>
  <si>
    <t>DCA</t>
    <phoneticPr fontId="8" type="noConversion"/>
  </si>
  <si>
    <t>DIS</t>
    <phoneticPr fontId="8" type="noConversion"/>
  </si>
  <si>
    <t>CGSC</t>
    <phoneticPr fontId="8" type="noConversion"/>
  </si>
  <si>
    <t>重要人物</t>
    <phoneticPr fontId="8" type="noConversion"/>
  </si>
  <si>
    <t>温和派</t>
    <phoneticPr fontId="8" type="noConversion"/>
  </si>
  <si>
    <t>激进派</t>
    <phoneticPr fontId="8" type="noConversion"/>
  </si>
  <si>
    <t>共产党派</t>
    <phoneticPr fontId="8" type="noConversion"/>
  </si>
  <si>
    <t>无政府派</t>
    <phoneticPr fontId="8" type="noConversion"/>
  </si>
  <si>
    <t>新社会主义派</t>
    <phoneticPr fontId="8" type="noConversion"/>
  </si>
  <si>
    <t>革命行动派</t>
    <phoneticPr fontId="8" type="noConversion"/>
  </si>
  <si>
    <t>守旧派</t>
    <phoneticPr fontId="8" type="noConversion"/>
  </si>
  <si>
    <t>青年派</t>
    <phoneticPr fontId="8" type="noConversion"/>
  </si>
  <si>
    <t>开局</t>
    <phoneticPr fontId="8" type="noConversion"/>
  </si>
  <si>
    <t xml:space="preserve">乔治·杜穆兰 George du Maurier || CGT </t>
    <phoneticPr fontId="8" type="noConversion"/>
  </si>
  <si>
    <t>皮埃尔·赖伐尔 Pierre Laval || 无党籍</t>
    <phoneticPr fontId="8" type="noConversion"/>
  </si>
  <si>
    <t>勒内·贝林 René Belin || CGT</t>
    <phoneticPr fontId="8" type="noConversion"/>
  </si>
  <si>
    <t>莫里斯·甘末林 Maurice Gamelin</t>
    <phoneticPr fontId="8" type="noConversion"/>
  </si>
  <si>
    <t>莱昂·儒奥 Léon Jouhaux || CGT || 工团主义的教皇</t>
    <phoneticPr fontId="8" type="noConversion"/>
  </si>
  <si>
    <t>约瑟夫·保罗-邦库尔 Joseph Paul-Boncour || URSRS</t>
    <phoneticPr fontId="8" type="noConversion"/>
  </si>
  <si>
    <t xml:space="preserve">罗伯特·博瑟罗 Robert Bothereau || CGT </t>
    <phoneticPr fontId="8" type="noConversion"/>
  </si>
  <si>
    <t>让·扎伊 Jean Zay || URSRS</t>
    <phoneticPr fontId="8" type="noConversion"/>
  </si>
  <si>
    <t>伯努瓦·弗拉商 Benoît Frachon || POU</t>
    <phoneticPr fontId="8" type="noConversion"/>
  </si>
  <si>
    <t>莫里斯·多列士 Maurice Thorez || POU
皮埃尔·赛马尔 Pierre Sémard || POU</t>
    <phoneticPr fontId="8" type="noConversion"/>
  </si>
  <si>
    <t>阿尔弗雷德·罗斯默 Alfred Rosmer || POU</t>
    <phoneticPr fontId="8" type="noConversion"/>
  </si>
  <si>
    <t>加斯顿·蒙穆索 Gaston Monmousseau || POU</t>
    <phoneticPr fontId="8" type="noConversion"/>
  </si>
  <si>
    <t>马索·皮韦尔 Marceau Pivert || POU</t>
    <phoneticPr fontId="8" type="noConversion"/>
  </si>
  <si>
    <t>查尔斯·蒂隆 Charles Tillon || POU</t>
    <phoneticPr fontId="8" type="noConversion"/>
  </si>
  <si>
    <t>让·弗拉维尼 Jean Flavigny</t>
    <phoneticPr fontId="8" type="noConversion"/>
  </si>
  <si>
    <t>无派系</t>
    <phoneticPr fontId="8" type="noConversion"/>
  </si>
  <si>
    <t>阿尔方斯·梅尔海姆 || Alphonse Merrheim || CGT</t>
    <phoneticPr fontId="8" type="noConversion"/>
  </si>
  <si>
    <t>乔治·比松 || Georges Buisson || CGT</t>
    <phoneticPr fontId="8" type="noConversion"/>
  </si>
  <si>
    <t>皮埃尔·贝斯纳 Pierre Besnard || AFA || 无政府主义工会代表</t>
  </si>
  <si>
    <t>休伯特·拉加德尔 Hubert Lagardelle || CNS || 工团派的圣西门
菲利普·拉穆尔  Philippe Lamour || CNS || 生产者的共和国</t>
    <phoneticPr fontId="8" type="noConversion"/>
  </si>
  <si>
    <t xml:space="preserve">安托万·贝图阿尔 Antoine Béthouart
艾梅·杜芒 Aimé Doumenc </t>
    <phoneticPr fontId="8" type="noConversion"/>
  </si>
  <si>
    <t>加布里埃尔·布格兰Gabriel Bougrain</t>
    <phoneticPr fontId="8" type="noConversion"/>
  </si>
  <si>
    <t>塞巴斯蒂安·富尔 Sébastien Faure || AFA || 不知疲倦的演说家</t>
    <phoneticPr fontId="8" type="noConversion"/>
  </si>
  <si>
    <t>菲利普·奥布瓦诺 Philippe Auboyneau || CNS</t>
    <phoneticPr fontId="8" type="noConversion"/>
  </si>
  <si>
    <t>安托万·雷迪埃 Antoine Rédier || CNS || 军团领袖</t>
    <phoneticPr fontId="8" type="noConversion"/>
  </si>
  <si>
    <t>夏尔·德莱斯特兰 Charles Delestraint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</si>
</sst>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等线"/>
      <family val="2"/>
      <charset val="134"/>
      <scheme val="minor"/>
    </font>
    <font>
      <sz val="11"/>
      <name val="等线"/>
      <charset val="134"/>
    </font>
    <font>
      <sz val="11"/>
      <name val="等线"/>
      <charset val="134"/>
    </font>
    <font>
      <sz val="11"/>
      <name val="等线"/>
      <charset val="134"/>
    </font>
    <font>
      <sz val="11"/>
      <color rgb="FFFFFFFF"/>
      <name val="等线"/>
      <charset val="134"/>
    </font>
    <font>
      <sz val="11"/>
      <color rgb="FFFFFFFF"/>
      <name val="等线"/>
      <charset val="134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sz val="9"/>
      <name val="等线"/>
      <family val="2"/>
      <charset val="134"/>
      <scheme val="minor"/>
    </font>
    <font>
      <sz val="9"/>
      <color theme="1"/>
      <name val="华文中宋"/>
      <family val="3"/>
      <charset val="134"/>
    </font>
    <font>
      <sz val="9"/>
      <color rgb="FF0070C0"/>
      <name val="华文中宋"/>
      <family val="3"/>
      <charset val="134"/>
    </font>
    <font>
      <sz val="9"/>
      <color theme="9" tint="-0.249977111117893"/>
      <name val="华文中宋"/>
      <family val="3"/>
      <charset val="134"/>
    </font>
    <font>
      <sz val="9"/>
      <color theme="5" tint="-0.249977111117893"/>
      <name val="华文中宋"/>
      <family val="3"/>
      <charset val="134"/>
    </font>
  </fonts>
  <fills count="16">
    <fill>
      <patternFill patternType="none"/>
    </fill>
    <fill>
      <patternFill patternType="gray125"/>
    </fill>
    <fill>
      <patternFill patternType="solid">
        <fgColor rgb="FF8CDDFA"/>
      </patternFill>
    </fill>
    <fill>
      <patternFill patternType="none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none">
        <fgColor auto="1"/>
        <bgColor auto="1"/>
      </patternFill>
    </fill>
    <fill>
      <patternFill patternType="solid">
        <fgColor rgb="FFE74025"/>
      </patternFill>
    </fill>
    <fill>
      <patternFill patternType="solid">
        <fgColor rgb="FFE74025"/>
      </patternFill>
    </fill>
    <fill>
      <patternFill patternType="solid">
        <fgColor rgb="FF319B62"/>
      </patternFill>
    </fill>
    <fill>
      <patternFill patternType="solid">
        <fgColor rgb="FFDE3C36"/>
      </patternFill>
    </fill>
    <fill>
      <patternFill patternType="solid">
        <fgColor rgb="FFFFF9E3"/>
      </patternFill>
    </fill>
    <fill>
      <patternFill patternType="solid">
        <fgColor rgb="FFFFF9E3"/>
      </patternFill>
    </fill>
    <fill>
      <patternFill patternType="solid">
        <fgColor theme="1" tint="4.9989318521683403E-2"/>
        <bgColor indexed="64"/>
      </patternFill>
    </fill>
  </fills>
  <borders count="58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 style="thick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 style="thin">
        <color theme="1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theme="1"/>
      </right>
      <top style="medium">
        <color rgb="FF000000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/>
      <top/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/>
      <bottom style="thick">
        <color rgb="FF000000"/>
      </bottom>
      <diagonal/>
    </border>
  </borders>
  <cellStyleXfs count="2">
    <xf numFmtId="0" fontId="0" fillId="0" borderId="54">
      <alignment vertical="center"/>
    </xf>
    <xf numFmtId="0" fontId="7" fillId="3" borderId="54"/>
  </cellStyleXfs>
  <cellXfs count="139">
    <xf numFmtId="0" fontId="0" fillId="0" borderId="0" xfId="0" applyBorder="1">
      <alignment vertical="center"/>
    </xf>
    <xf numFmtId="0" fontId="6" fillId="0" borderId="14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4" borderId="19" xfId="0" applyFont="1" applyFill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54" xfId="0" applyFont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2" fillId="0" borderId="19" xfId="0" applyNumberFormat="1" applyFont="1" applyBorder="1" applyAlignment="1">
      <alignment horizontal="center" vertical="center"/>
    </xf>
    <xf numFmtId="0" fontId="6" fillId="4" borderId="46" xfId="0" applyFont="1" applyFill="1" applyBorder="1" applyAlignment="1">
      <alignment horizontal="center" vertical="center"/>
    </xf>
    <xf numFmtId="0" fontId="1" fillId="0" borderId="20" xfId="0" applyNumberFormat="1" applyFont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0" borderId="53" xfId="0" applyFont="1" applyBorder="1">
      <alignment vertical="center"/>
    </xf>
    <xf numFmtId="0" fontId="6" fillId="0" borderId="21" xfId="0" applyFont="1" applyBorder="1">
      <alignment vertical="center"/>
    </xf>
    <xf numFmtId="0" fontId="3" fillId="8" borderId="54" xfId="0" applyFont="1" applyFill="1" applyAlignment="1"/>
    <xf numFmtId="0" fontId="0" fillId="0" borderId="5" xfId="0" applyBorder="1">
      <alignment vertical="center"/>
    </xf>
    <xf numFmtId="0" fontId="3" fillId="8" borderId="54" xfId="0" applyFont="1" applyFill="1">
      <alignment vertical="center"/>
    </xf>
    <xf numFmtId="0" fontId="4" fillId="9" borderId="55" xfId="0" applyFont="1" applyFill="1" applyBorder="1">
      <alignment vertical="center"/>
    </xf>
    <xf numFmtId="0" fontId="0" fillId="9" borderId="55" xfId="0" applyFill="1" applyBorder="1">
      <alignment vertical="center"/>
    </xf>
    <xf numFmtId="0" fontId="0" fillId="10" borderId="56" xfId="0" applyFill="1" applyBorder="1">
      <alignment vertical="center"/>
    </xf>
    <xf numFmtId="0" fontId="0" fillId="2" borderId="0" xfId="0" applyFill="1" applyBorder="1">
      <alignment vertical="center"/>
    </xf>
    <xf numFmtId="0" fontId="0" fillId="0" borderId="0" xfId="0" applyBorder="1">
      <alignment vertical="center"/>
    </xf>
    <xf numFmtId="0" fontId="5" fillId="9" borderId="0" xfId="0" applyFont="1" applyFill="1" applyBorder="1">
      <alignment vertical="center"/>
    </xf>
    <xf numFmtId="0" fontId="0" fillId="9" borderId="0" xfId="0" applyFill="1" applyBorder="1">
      <alignment vertical="center"/>
    </xf>
    <xf numFmtId="0" fontId="0" fillId="10" borderId="5" xfId="0" applyFill="1" applyBorder="1">
      <alignment vertical="center"/>
    </xf>
    <xf numFmtId="0" fontId="0" fillId="0" borderId="5" xfId="0" applyBorder="1">
      <alignment vertical="center"/>
    </xf>
    <xf numFmtId="0" fontId="0" fillId="2" borderId="0" xfId="0" applyFill="1" applyBorder="1">
      <alignment vertical="center"/>
    </xf>
    <xf numFmtId="0" fontId="5" fillId="10" borderId="5" xfId="0" applyFont="1" applyFill="1" applyBorder="1">
      <alignment vertical="center"/>
    </xf>
    <xf numFmtId="0" fontId="0" fillId="0" borderId="6" xfId="0" applyBorder="1">
      <alignment vertical="center"/>
    </xf>
    <xf numFmtId="0" fontId="0" fillId="0" borderId="57" xfId="0" applyBorder="1">
      <alignment vertical="center"/>
    </xf>
    <xf numFmtId="0" fontId="3" fillId="0" borderId="1" xfId="0" applyFont="1" applyBorder="1" applyAlignment="1"/>
    <xf numFmtId="0" fontId="3" fillId="0" borderId="54" xfId="0" applyFont="1" applyAlignment="1"/>
    <xf numFmtId="0" fontId="0" fillId="0" borderId="4" xfId="0" applyBorder="1">
      <alignment vertical="center"/>
    </xf>
    <xf numFmtId="0" fontId="0" fillId="11" borderId="0" xfId="0" applyFill="1" applyBorder="1">
      <alignment vertical="center"/>
    </xf>
    <xf numFmtId="0" fontId="0" fillId="11" borderId="0" xfId="0" applyFill="1" applyBorder="1">
      <alignment vertical="center"/>
    </xf>
    <xf numFmtId="0" fontId="0" fillId="12" borderId="0" xfId="0" applyFill="1" applyBorder="1">
      <alignment vertical="center"/>
    </xf>
    <xf numFmtId="0" fontId="0" fillId="12" borderId="13" xfId="0" applyFill="1" applyBorder="1">
      <alignment vertical="center"/>
    </xf>
    <xf numFmtId="0" fontId="0" fillId="12" borderId="0" xfId="0" applyFill="1" applyBorder="1">
      <alignment vertical="center"/>
    </xf>
    <xf numFmtId="0" fontId="0" fillId="11" borderId="13" xfId="0" applyFill="1" applyBorder="1">
      <alignment vertical="center"/>
    </xf>
    <xf numFmtId="0" fontId="0" fillId="0" borderId="0" xfId="0" applyBorder="1" applyAlignment="1">
      <alignment horizontal="left" vertical="center" wrapText="1"/>
    </xf>
    <xf numFmtId="0" fontId="0" fillId="13" borderId="0" xfId="0" applyFill="1" applyBorder="1" applyAlignment="1">
      <alignment horizontal="left" vertical="center" wrapText="1"/>
    </xf>
    <xf numFmtId="0" fontId="0" fillId="0" borderId="6" xfId="0" applyBorder="1">
      <alignment vertical="center"/>
    </xf>
    <xf numFmtId="0" fontId="6" fillId="3" borderId="54" xfId="0" applyNumberFormat="1" applyFont="1" applyFill="1" applyBorder="1" applyAlignment="1">
      <alignment horizontal="center" vertical="center"/>
    </xf>
    <xf numFmtId="0" fontId="0" fillId="9" borderId="55" xfId="0" applyFill="1" applyBorder="1">
      <alignment vertical="center"/>
    </xf>
    <xf numFmtId="0" fontId="0" fillId="9" borderId="0" xfId="0" applyFill="1" applyBorder="1">
      <alignment vertical="center"/>
    </xf>
    <xf numFmtId="0" fontId="5" fillId="10" borderId="0" xfId="0" applyFont="1" applyFill="1" applyBorder="1">
      <alignment vertical="center"/>
    </xf>
    <xf numFmtId="0" fontId="0" fillId="14" borderId="0" xfId="0" applyFill="1" applyBorder="1" applyAlignment="1">
      <alignment horizontal="left" vertical="center" wrapText="1"/>
    </xf>
    <xf numFmtId="0" fontId="6" fillId="0" borderId="14" xfId="0" applyFont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6" fillId="5" borderId="51" xfId="0" applyFont="1" applyFill="1" applyBorder="1" applyAlignment="1">
      <alignment horizontal="center" vertical="center"/>
    </xf>
    <xf numFmtId="0" fontId="6" fillId="5" borderId="52" xfId="0" applyFont="1" applyFill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4" borderId="31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5" borderId="39" xfId="0" applyNumberFormat="1" applyFont="1" applyFill="1" applyBorder="1" applyAlignment="1">
      <alignment horizontal="center" vertical="center"/>
    </xf>
    <xf numFmtId="0" fontId="6" fillId="5" borderId="30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6" fillId="5" borderId="11" xfId="0" applyFont="1" applyFill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  <xf numFmtId="0" fontId="6" fillId="5" borderId="20" xfId="0" applyFont="1" applyFill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6" fillId="5" borderId="20" xfId="0" applyNumberFormat="1" applyFont="1" applyFill="1" applyBorder="1" applyAlignment="1">
      <alignment horizontal="center" vertical="center"/>
    </xf>
    <xf numFmtId="0" fontId="6" fillId="5" borderId="10" xfId="0" applyNumberFormat="1" applyFont="1" applyFill="1" applyBorder="1" applyAlignment="1">
      <alignment horizontal="center" vertical="center"/>
    </xf>
    <xf numFmtId="0" fontId="6" fillId="5" borderId="15" xfId="0" applyFont="1" applyFill="1" applyBorder="1" applyAlignment="1">
      <alignment horizontal="center" vertical="center"/>
    </xf>
    <xf numFmtId="0" fontId="6" fillId="5" borderId="16" xfId="0" applyNumberFormat="1" applyFont="1" applyFill="1" applyBorder="1" applyAlignment="1">
      <alignment horizontal="center" vertical="center"/>
    </xf>
    <xf numFmtId="0" fontId="6" fillId="5" borderId="31" xfId="0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5" borderId="26" xfId="0" applyFont="1" applyFill="1" applyBorder="1" applyAlignment="1">
      <alignment horizontal="center" vertical="center"/>
    </xf>
    <xf numFmtId="0" fontId="6" fillId="5" borderId="27" xfId="0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6" borderId="16" xfId="0" applyNumberFormat="1" applyFont="1" applyFill="1" applyBorder="1" applyAlignment="1">
      <alignment horizontal="center" vertical="center"/>
    </xf>
    <xf numFmtId="0" fontId="6" fillId="0" borderId="10" xfId="0" applyNumberFormat="1" applyFont="1" applyFill="1" applyBorder="1" applyAlignment="1">
      <alignment horizontal="center" vertical="center"/>
    </xf>
    <xf numFmtId="0" fontId="6" fillId="0" borderId="9" xfId="0" applyFont="1" applyFill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6" fillId="6" borderId="24" xfId="0" applyFont="1" applyFill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5" borderId="22" xfId="0" applyNumberFormat="1" applyFont="1" applyFill="1" applyBorder="1" applyAlignment="1">
      <alignment horizontal="center" vertical="center"/>
    </xf>
    <xf numFmtId="0" fontId="6" fillId="5" borderId="23" xfId="0" applyFont="1" applyFill="1" applyBorder="1" applyAlignment="1">
      <alignment horizontal="center" vertical="center"/>
    </xf>
    <xf numFmtId="0" fontId="6" fillId="5" borderId="28" xfId="0" applyFont="1" applyFill="1" applyBorder="1" applyAlignment="1">
      <alignment horizontal="center" vertical="center"/>
    </xf>
    <xf numFmtId="0" fontId="6" fillId="5" borderId="34" xfId="0" applyNumberFormat="1" applyFont="1" applyFill="1" applyBorder="1" applyAlignment="1">
      <alignment horizontal="center" vertical="center"/>
    </xf>
    <xf numFmtId="0" fontId="6" fillId="5" borderId="35" xfId="0" applyFont="1" applyFill="1" applyBorder="1" applyAlignment="1">
      <alignment horizontal="center" vertical="center"/>
    </xf>
    <xf numFmtId="0" fontId="6" fillId="5" borderId="36" xfId="0" applyNumberFormat="1" applyFont="1" applyFill="1" applyBorder="1" applyAlignment="1">
      <alignment horizontal="center" vertical="center"/>
    </xf>
    <xf numFmtId="0" fontId="6" fillId="5" borderId="37" xfId="0" applyFont="1" applyFill="1" applyBorder="1" applyAlignment="1">
      <alignment horizontal="center" vertical="center"/>
    </xf>
    <xf numFmtId="0" fontId="6" fillId="7" borderId="34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5" borderId="32" xfId="0" applyNumberFormat="1" applyFont="1" applyFill="1" applyBorder="1" applyAlignment="1">
      <alignment horizontal="center" vertical="center"/>
    </xf>
    <xf numFmtId="0" fontId="6" fillId="5" borderId="33" xfId="0" applyFont="1" applyFill="1" applyBorder="1" applyAlignment="1">
      <alignment horizontal="center" vertical="center"/>
    </xf>
    <xf numFmtId="0" fontId="6" fillId="5" borderId="29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5" borderId="38" xfId="0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6" fillId="6" borderId="49" xfId="0" applyFont="1" applyFill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9" fillId="0" borderId="54" xfId="0" applyFont="1" applyFill="1" applyBorder="1" applyAlignment="1">
      <alignment vertical="center" wrapText="1"/>
    </xf>
    <xf numFmtId="0" fontId="9" fillId="0" borderId="0" xfId="0" applyFont="1" applyFill="1" applyBorder="1" applyAlignment="1">
      <alignment vertical="center" wrapText="1"/>
    </xf>
    <xf numFmtId="0" fontId="9" fillId="0" borderId="38" xfId="0" applyFont="1" applyFill="1" applyBorder="1" applyAlignment="1">
      <alignment vertical="center" wrapText="1"/>
    </xf>
    <xf numFmtId="0" fontId="9" fillId="0" borderId="48" xfId="0" applyFont="1" applyFill="1" applyBorder="1" applyAlignment="1">
      <alignment vertical="center" wrapText="1"/>
    </xf>
    <xf numFmtId="0" fontId="11" fillId="0" borderId="48" xfId="0" applyFont="1" applyFill="1" applyBorder="1" applyAlignment="1">
      <alignment vertical="center" wrapText="1"/>
    </xf>
    <xf numFmtId="0" fontId="9" fillId="0" borderId="7" xfId="0" applyFont="1" applyFill="1" applyBorder="1" applyAlignment="1">
      <alignment vertical="center" wrapText="1"/>
    </xf>
    <xf numFmtId="0" fontId="9" fillId="0" borderId="27" xfId="0" applyFont="1" applyFill="1" applyBorder="1" applyAlignment="1">
      <alignment vertical="center" wrapText="1"/>
    </xf>
    <xf numFmtId="0" fontId="9" fillId="0" borderId="43" xfId="0" applyFont="1" applyFill="1" applyBorder="1" applyAlignment="1">
      <alignment vertical="center" wrapText="1"/>
    </xf>
    <xf numFmtId="0" fontId="11" fillId="0" borderId="43" xfId="0" applyFont="1" applyFill="1" applyBorder="1" applyAlignment="1">
      <alignment vertical="center" wrapText="1"/>
    </xf>
    <xf numFmtId="0" fontId="9" fillId="15" borderId="7" xfId="0" applyFont="1" applyFill="1" applyBorder="1" applyAlignment="1">
      <alignment vertical="center" wrapText="1"/>
    </xf>
    <xf numFmtId="0" fontId="9" fillId="15" borderId="54" xfId="0" applyFont="1" applyFill="1" applyBorder="1" applyAlignment="1">
      <alignment vertical="center" wrapText="1"/>
    </xf>
    <xf numFmtId="0" fontId="9" fillId="15" borderId="0" xfId="0" applyFont="1" applyFill="1" applyBorder="1" applyAlignment="1">
      <alignment vertical="center" wrapText="1"/>
    </xf>
    <xf numFmtId="0" fontId="9" fillId="0" borderId="31" xfId="0" applyFont="1" applyFill="1" applyBorder="1" applyAlignment="1">
      <alignment vertical="center" wrapText="1"/>
    </xf>
    <xf numFmtId="0" fontId="11" fillId="0" borderId="31" xfId="0" applyFont="1" applyFill="1" applyBorder="1" applyAlignment="1">
      <alignment vertical="center" wrapText="1"/>
    </xf>
    <xf numFmtId="0" fontId="9" fillId="15" borderId="53" xfId="0" applyFont="1" applyFill="1" applyBorder="1" applyAlignment="1">
      <alignment vertical="center" wrapText="1"/>
    </xf>
    <xf numFmtId="0" fontId="9" fillId="0" borderId="26" xfId="0" applyFont="1" applyFill="1" applyBorder="1" applyAlignment="1">
      <alignment vertical="center" wrapText="1"/>
    </xf>
    <xf numFmtId="0" fontId="9" fillId="0" borderId="53" xfId="0" applyFont="1" applyFill="1" applyBorder="1" applyAlignment="1">
      <alignment vertical="center" wrapText="1"/>
    </xf>
    <xf numFmtId="0" fontId="11" fillId="0" borderId="54" xfId="0" applyFont="1" applyFill="1" applyBorder="1" applyAlignment="1">
      <alignment vertical="center" wrapText="1"/>
    </xf>
    <xf numFmtId="0" fontId="10" fillId="0" borderId="54" xfId="0" applyFont="1" applyFill="1" applyBorder="1" applyAlignment="1">
      <alignment vertical="center" wrapText="1"/>
    </xf>
    <xf numFmtId="0" fontId="12" fillId="0" borderId="54" xfId="0" applyFont="1" applyFill="1" applyBorder="1" applyAlignment="1">
      <alignment vertical="center" wrapText="1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A19A-03EB-46D6-B81E-493E400C2911}">
  <dimension ref="A1:K35"/>
  <sheetViews>
    <sheetView tabSelected="1" zoomScale="115" zoomScaleNormal="115" workbookViewId="0">
      <pane xSplit="1" topLeftCell="B1" activePane="topRight" state="frozen"/>
      <selection pane="topRight" activeCell="D15" sqref="D15"/>
    </sheetView>
  </sheetViews>
  <sheetFormatPr defaultRowHeight="12.6"/>
  <cols>
    <col min="1" max="1" width="8.88671875" style="124"/>
    <col min="2" max="2" width="50.77734375" style="135" customWidth="1"/>
    <col min="3" max="11" width="50.77734375" style="119" customWidth="1"/>
    <col min="12" max="16384" width="8.88671875" style="120"/>
  </cols>
  <sheetData>
    <row r="1" spans="1:11" s="122" customFormat="1">
      <c r="A1" s="121"/>
      <c r="B1" s="131" t="s">
        <v>320</v>
      </c>
      <c r="C1" s="122" t="s">
        <v>312</v>
      </c>
      <c r="D1" s="122" t="s">
        <v>313</v>
      </c>
      <c r="E1" s="122" t="s">
        <v>314</v>
      </c>
      <c r="F1" s="122" t="s">
        <v>315</v>
      </c>
      <c r="G1" s="122" t="s">
        <v>316</v>
      </c>
      <c r="H1" s="122" t="s">
        <v>317</v>
      </c>
      <c r="I1" s="122" t="s">
        <v>318</v>
      </c>
      <c r="J1" s="122" t="s">
        <v>319</v>
      </c>
      <c r="K1" s="122" t="s">
        <v>336</v>
      </c>
    </row>
    <row r="2" spans="1:11" s="122" customFormat="1" ht="25.2">
      <c r="A2" s="121" t="s">
        <v>305</v>
      </c>
      <c r="B2" s="131" t="s">
        <v>302</v>
      </c>
      <c r="C2" s="122" t="s">
        <v>325</v>
      </c>
      <c r="D2" s="122" t="s">
        <v>329</v>
      </c>
      <c r="E2" s="122" t="s">
        <v>0</v>
      </c>
      <c r="F2" s="122" t="s">
        <v>343</v>
      </c>
      <c r="G2" s="122" t="s">
        <v>1</v>
      </c>
      <c r="I2" s="122" t="s">
        <v>2</v>
      </c>
    </row>
    <row r="3" spans="1:11" s="122" customFormat="1" ht="25.2">
      <c r="A3" s="121" t="s">
        <v>304</v>
      </c>
      <c r="B3" s="131" t="s">
        <v>321</v>
      </c>
      <c r="D3" s="122" t="s">
        <v>330</v>
      </c>
      <c r="E3" s="122" t="s">
        <v>4</v>
      </c>
      <c r="G3" s="122" t="s">
        <v>5</v>
      </c>
      <c r="H3" s="122" t="s">
        <v>6</v>
      </c>
      <c r="I3" s="122" t="s">
        <v>7</v>
      </c>
      <c r="J3" s="122" t="s">
        <v>8</v>
      </c>
    </row>
    <row r="4" spans="1:11" s="122" customFormat="1">
      <c r="A4" s="121" t="s">
        <v>306</v>
      </c>
      <c r="B4" s="131" t="s">
        <v>322</v>
      </c>
      <c r="C4" s="122" t="s">
        <v>326</v>
      </c>
      <c r="D4" s="122" t="s">
        <v>331</v>
      </c>
      <c r="E4" s="122" t="s">
        <v>10</v>
      </c>
      <c r="F4" s="122" t="s">
        <v>11</v>
      </c>
      <c r="G4" s="122" t="s">
        <v>12</v>
      </c>
      <c r="H4" s="122" t="s">
        <v>13</v>
      </c>
      <c r="I4" s="122" t="s">
        <v>14</v>
      </c>
      <c r="J4" s="122" t="s">
        <v>15</v>
      </c>
    </row>
    <row r="5" spans="1:11" s="122" customFormat="1" ht="25.2">
      <c r="A5" s="121" t="s">
        <v>307</v>
      </c>
      <c r="B5" s="131" t="s">
        <v>323</v>
      </c>
      <c r="C5" s="122" t="s">
        <v>327</v>
      </c>
      <c r="D5" s="122" t="s">
        <v>332</v>
      </c>
      <c r="E5" s="122" t="s">
        <v>17</v>
      </c>
      <c r="F5" s="122" t="s">
        <v>339</v>
      </c>
      <c r="G5" s="122" t="s">
        <v>18</v>
      </c>
      <c r="H5" s="122" t="s">
        <v>19</v>
      </c>
      <c r="I5" s="122" t="s">
        <v>340</v>
      </c>
    </row>
    <row r="6" spans="1:11" s="122" customFormat="1">
      <c r="A6" s="121" t="s">
        <v>308</v>
      </c>
      <c r="B6" s="131" t="s">
        <v>303</v>
      </c>
      <c r="C6" s="122" t="s">
        <v>300</v>
      </c>
      <c r="D6" s="122" t="s">
        <v>334</v>
      </c>
      <c r="E6" s="122" t="s">
        <v>21</v>
      </c>
      <c r="F6" s="122" t="s">
        <v>22</v>
      </c>
      <c r="G6" s="122" t="s">
        <v>23</v>
      </c>
      <c r="H6" s="122" t="s">
        <v>24</v>
      </c>
      <c r="I6" s="122" t="s">
        <v>25</v>
      </c>
      <c r="J6" s="122" t="s">
        <v>26</v>
      </c>
    </row>
    <row r="7" spans="1:11" s="122" customFormat="1">
      <c r="A7" s="121" t="s">
        <v>309</v>
      </c>
      <c r="B7" s="131" t="s">
        <v>93</v>
      </c>
      <c r="C7" s="122" t="s">
        <v>328</v>
      </c>
      <c r="D7" s="122" t="s">
        <v>333</v>
      </c>
      <c r="E7" s="122" t="s">
        <v>28</v>
      </c>
      <c r="F7" s="122" t="s">
        <v>29</v>
      </c>
      <c r="G7" s="122" t="s">
        <v>30</v>
      </c>
      <c r="H7" s="122" t="s">
        <v>31</v>
      </c>
      <c r="I7" s="122" t="s">
        <v>32</v>
      </c>
      <c r="J7" s="122" t="s">
        <v>33</v>
      </c>
    </row>
    <row r="8" spans="1:11" s="122" customFormat="1" ht="25.2">
      <c r="A8" s="121" t="s">
        <v>310</v>
      </c>
      <c r="B8" s="132" t="s">
        <v>324</v>
      </c>
      <c r="C8" s="123" t="s">
        <v>324</v>
      </c>
      <c r="D8" s="123" t="s">
        <v>335</v>
      </c>
      <c r="E8" s="123" t="s">
        <v>35</v>
      </c>
      <c r="F8" s="123" t="s">
        <v>36</v>
      </c>
      <c r="G8" s="123" t="s">
        <v>346</v>
      </c>
      <c r="I8" s="123" t="s">
        <v>342</v>
      </c>
      <c r="K8" s="123" t="s">
        <v>341</v>
      </c>
    </row>
    <row r="9" spans="1:11" s="130" customFormat="1">
      <c r="A9" s="128"/>
      <c r="B9" s="133"/>
      <c r="C9" s="129"/>
      <c r="D9" s="129"/>
      <c r="E9" s="129"/>
      <c r="F9" s="129"/>
      <c r="G9" s="129"/>
      <c r="H9" s="129"/>
      <c r="I9" s="129"/>
      <c r="J9" s="129"/>
      <c r="K9" s="129"/>
    </row>
    <row r="10" spans="1:11" s="126" customFormat="1">
      <c r="A10" s="125" t="s">
        <v>311</v>
      </c>
      <c r="B10" s="134"/>
      <c r="C10" s="126" t="s">
        <v>337</v>
      </c>
      <c r="D10" s="126" t="s">
        <v>302</v>
      </c>
      <c r="E10" s="126" t="s">
        <v>37</v>
      </c>
      <c r="F10" s="126" t="s">
        <v>38</v>
      </c>
      <c r="H10" s="126" t="s">
        <v>39</v>
      </c>
      <c r="I10" s="126" t="s">
        <v>40</v>
      </c>
      <c r="J10" s="126" t="s">
        <v>41</v>
      </c>
      <c r="K10" s="127" t="s">
        <v>3</v>
      </c>
    </row>
    <row r="11" spans="1:11">
      <c r="C11" s="119" t="s">
        <v>338</v>
      </c>
      <c r="D11" s="119" t="s">
        <v>43</v>
      </c>
      <c r="E11" s="119" t="s">
        <v>44</v>
      </c>
      <c r="F11" s="119" t="s">
        <v>45</v>
      </c>
      <c r="H11" s="119" t="s">
        <v>19</v>
      </c>
      <c r="I11" s="119" t="s">
        <v>46</v>
      </c>
      <c r="J11" s="119" t="s">
        <v>47</v>
      </c>
      <c r="K11" s="136" t="s">
        <v>9</v>
      </c>
    </row>
    <row r="12" spans="1:11">
      <c r="C12" s="119" t="s">
        <v>322</v>
      </c>
      <c r="D12" s="119" t="s">
        <v>49</v>
      </c>
      <c r="E12" s="119" t="s">
        <v>50</v>
      </c>
      <c r="F12" s="119" t="s">
        <v>51</v>
      </c>
      <c r="I12" s="119" t="s">
        <v>345</v>
      </c>
      <c r="J12" s="119" t="s">
        <v>52</v>
      </c>
      <c r="K12" s="136" t="s">
        <v>16</v>
      </c>
    </row>
    <row r="13" spans="1:11">
      <c r="C13" s="119" t="s">
        <v>93</v>
      </c>
      <c r="F13" s="119" t="s">
        <v>54</v>
      </c>
      <c r="I13" s="119" t="s">
        <v>55</v>
      </c>
      <c r="J13" s="119" t="s">
        <v>56</v>
      </c>
      <c r="K13" s="136" t="s">
        <v>20</v>
      </c>
    </row>
    <row r="14" spans="1:11">
      <c r="C14" s="119" t="s">
        <v>92</v>
      </c>
      <c r="F14" s="119" t="s">
        <v>58</v>
      </c>
      <c r="I14" s="119" t="s">
        <v>59</v>
      </c>
      <c r="J14" s="119" t="s">
        <v>60</v>
      </c>
      <c r="K14" s="136" t="s">
        <v>27</v>
      </c>
    </row>
    <row r="15" spans="1:11" ht="25.2">
      <c r="F15" s="119" t="s">
        <v>62</v>
      </c>
      <c r="I15" s="119" t="s">
        <v>63</v>
      </c>
      <c r="J15" s="119" t="s">
        <v>64</v>
      </c>
      <c r="K15" s="136" t="s">
        <v>34</v>
      </c>
    </row>
    <row r="16" spans="1:11">
      <c r="F16" s="119" t="s">
        <v>66</v>
      </c>
      <c r="I16" s="119" t="s">
        <v>67</v>
      </c>
      <c r="J16" s="119" t="s">
        <v>68</v>
      </c>
      <c r="K16" s="136" t="s">
        <v>87</v>
      </c>
    </row>
    <row r="17" spans="6:11">
      <c r="F17" s="119" t="s">
        <v>70</v>
      </c>
      <c r="I17" s="136" t="s">
        <v>71</v>
      </c>
      <c r="J17" s="119" t="s">
        <v>72</v>
      </c>
      <c r="K17" s="136" t="s">
        <v>88</v>
      </c>
    </row>
    <row r="18" spans="6:11">
      <c r="I18" s="136" t="s">
        <v>74</v>
      </c>
      <c r="J18" s="119" t="s">
        <v>75</v>
      </c>
      <c r="K18" s="136" t="s">
        <v>89</v>
      </c>
    </row>
    <row r="19" spans="6:11">
      <c r="I19" s="136" t="s">
        <v>79</v>
      </c>
      <c r="J19" s="119" t="s">
        <v>77</v>
      </c>
      <c r="K19" s="136" t="s">
        <v>90</v>
      </c>
    </row>
    <row r="20" spans="6:11">
      <c r="I20" s="136" t="s">
        <v>81</v>
      </c>
      <c r="K20" s="136" t="s">
        <v>91</v>
      </c>
    </row>
    <row r="21" spans="6:11">
      <c r="I21" s="137" t="s">
        <v>83</v>
      </c>
      <c r="K21" s="137" t="s">
        <v>42</v>
      </c>
    </row>
    <row r="22" spans="6:11">
      <c r="I22" s="137" t="s">
        <v>85</v>
      </c>
      <c r="K22" s="137" t="s">
        <v>48</v>
      </c>
    </row>
    <row r="23" spans="6:11">
      <c r="I23" s="137" t="s">
        <v>344</v>
      </c>
      <c r="K23" s="137" t="s">
        <v>53</v>
      </c>
    </row>
    <row r="24" spans="6:11">
      <c r="K24" s="137" t="s">
        <v>57</v>
      </c>
    </row>
    <row r="25" spans="6:11">
      <c r="K25" s="137" t="s">
        <v>61</v>
      </c>
    </row>
    <row r="26" spans="6:11">
      <c r="K26" s="137" t="s">
        <v>65</v>
      </c>
    </row>
    <row r="27" spans="6:11">
      <c r="K27" s="137" t="s">
        <v>69</v>
      </c>
    </row>
    <row r="28" spans="6:11">
      <c r="K28" s="137" t="s">
        <v>73</v>
      </c>
    </row>
    <row r="29" spans="6:11">
      <c r="K29" s="137" t="s">
        <v>76</v>
      </c>
    </row>
    <row r="30" spans="6:11">
      <c r="K30" s="138" t="s">
        <v>78</v>
      </c>
    </row>
    <row r="31" spans="6:11">
      <c r="K31" s="138" t="s">
        <v>80</v>
      </c>
    </row>
    <row r="32" spans="6:11">
      <c r="K32" s="138" t="s">
        <v>82</v>
      </c>
    </row>
    <row r="33" spans="11:11">
      <c r="K33" s="138" t="s">
        <v>84</v>
      </c>
    </row>
    <row r="34" spans="11:11">
      <c r="K34" s="138" t="s">
        <v>86</v>
      </c>
    </row>
    <row r="35" spans="11:11">
      <c r="K35" s="136"/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4"/>
  <sheetViews>
    <sheetView zoomScaleNormal="100" workbookViewId="0">
      <selection activeCell="L5" sqref="L5:M5"/>
    </sheetView>
  </sheetViews>
  <sheetFormatPr defaultRowHeight="13.8"/>
  <cols>
    <col min="1" max="1" width="33.33203125" customWidth="1"/>
    <col min="2" max="17" width="6.77734375" style="43" customWidth="1"/>
    <col min="18" max="18" width="8.88671875" style="43"/>
    <col min="19" max="19" width="34.6640625" customWidth="1"/>
    <col min="20" max="20" width="25.77734375" customWidth="1"/>
    <col min="24" max="24" width="26.88671875" customWidth="1"/>
  </cols>
  <sheetData>
    <row r="1" spans="1:21" ht="15" customHeight="1" thickBot="1">
      <c r="A1" s="1"/>
      <c r="B1" s="60" t="s">
        <v>94</v>
      </c>
      <c r="C1" s="90"/>
      <c r="D1" s="60" t="s">
        <v>95</v>
      </c>
      <c r="E1" s="90"/>
      <c r="F1" s="60" t="s">
        <v>96</v>
      </c>
      <c r="G1" s="90"/>
      <c r="H1" s="60" t="s">
        <v>97</v>
      </c>
      <c r="I1" s="61"/>
      <c r="J1" s="62" t="s">
        <v>98</v>
      </c>
      <c r="K1" s="90"/>
      <c r="L1" s="60" t="s">
        <v>99</v>
      </c>
      <c r="M1" s="90"/>
      <c r="N1" s="67" t="s">
        <v>100</v>
      </c>
      <c r="O1" s="68"/>
      <c r="P1" s="67" t="s">
        <v>101</v>
      </c>
      <c r="Q1" s="68"/>
      <c r="R1" s="3" t="s">
        <v>102</v>
      </c>
      <c r="S1" s="4"/>
      <c r="T1" s="5"/>
      <c r="U1" s="5"/>
    </row>
    <row r="2" spans="1:21" ht="15" customHeight="1" thickBot="1">
      <c r="A2" s="1" t="s">
        <v>103</v>
      </c>
      <c r="B2" s="60"/>
      <c r="C2" s="90"/>
      <c r="D2" s="60"/>
      <c r="E2" s="90"/>
      <c r="F2" s="60"/>
      <c r="G2" s="90"/>
      <c r="H2" s="60"/>
      <c r="I2" s="61"/>
      <c r="J2" s="88"/>
      <c r="K2" s="68"/>
      <c r="L2" s="67"/>
      <c r="M2" s="88"/>
      <c r="N2" s="99">
        <v>65</v>
      </c>
      <c r="O2" s="100"/>
      <c r="P2" s="96">
        <v>18</v>
      </c>
      <c r="Q2" s="97"/>
      <c r="R2" s="6">
        <f t="shared" ref="R2:R11" si="0">SUM(B2:P2)</f>
        <v>83</v>
      </c>
      <c r="S2" s="4" t="s">
        <v>103</v>
      </c>
    </row>
    <row r="3" spans="1:21" ht="15" customHeight="1" thickBot="1">
      <c r="A3" s="1" t="s">
        <v>104</v>
      </c>
      <c r="B3" s="67"/>
      <c r="C3" s="68"/>
      <c r="D3" s="81"/>
      <c r="E3" s="82"/>
      <c r="F3" s="60"/>
      <c r="G3" s="90"/>
      <c r="H3" s="60"/>
      <c r="I3" s="62"/>
      <c r="J3" s="99">
        <v>57</v>
      </c>
      <c r="K3" s="101"/>
      <c r="L3" s="111">
        <v>21</v>
      </c>
      <c r="M3" s="64"/>
      <c r="N3" s="83"/>
      <c r="O3" s="84"/>
      <c r="P3" s="85"/>
      <c r="Q3" s="84"/>
      <c r="R3" s="3">
        <f t="shared" si="0"/>
        <v>78</v>
      </c>
      <c r="S3" s="4" t="s">
        <v>104</v>
      </c>
    </row>
    <row r="4" spans="1:21" ht="15" customHeight="1" thickBot="1">
      <c r="A4" s="2" t="s">
        <v>105</v>
      </c>
      <c r="B4" s="109">
        <v>12</v>
      </c>
      <c r="C4" s="110"/>
      <c r="D4" s="102">
        <v>73</v>
      </c>
      <c r="E4" s="103"/>
      <c r="F4" s="98"/>
      <c r="G4" s="90"/>
      <c r="H4" s="60"/>
      <c r="I4" s="61"/>
      <c r="J4" s="83"/>
      <c r="K4" s="84"/>
      <c r="L4" s="85"/>
      <c r="M4" s="84"/>
      <c r="N4" s="60"/>
      <c r="O4" s="90"/>
      <c r="P4" s="60"/>
      <c r="Q4" s="90"/>
      <c r="R4" s="3">
        <f t="shared" si="0"/>
        <v>85</v>
      </c>
      <c r="S4" s="4" t="s">
        <v>105</v>
      </c>
    </row>
    <row r="5" spans="1:21" ht="15" customHeight="1" thickBot="1">
      <c r="A5" s="1" t="s">
        <v>106</v>
      </c>
      <c r="B5" s="102">
        <v>64</v>
      </c>
      <c r="C5" s="103"/>
      <c r="D5" s="104">
        <v>41</v>
      </c>
      <c r="E5" s="105"/>
      <c r="F5" s="88"/>
      <c r="G5" s="68"/>
      <c r="H5" s="58"/>
      <c r="I5" s="75"/>
      <c r="J5" s="91">
        <v>34</v>
      </c>
      <c r="K5" s="90"/>
      <c r="L5" s="60"/>
      <c r="M5" s="90"/>
      <c r="N5" s="92"/>
      <c r="O5" s="93"/>
      <c r="P5" s="60"/>
      <c r="Q5" s="90"/>
      <c r="R5" s="3">
        <f t="shared" si="0"/>
        <v>139</v>
      </c>
      <c r="S5" s="7" t="s">
        <v>106</v>
      </c>
    </row>
    <row r="6" spans="1:21" ht="15" customHeight="1" thickBot="1">
      <c r="A6" s="1" t="s">
        <v>107</v>
      </c>
      <c r="B6" s="107"/>
      <c r="C6" s="57"/>
      <c r="D6" s="85"/>
      <c r="E6" s="83"/>
      <c r="F6" s="63">
        <v>84</v>
      </c>
      <c r="G6" s="64"/>
      <c r="H6" s="88"/>
      <c r="I6" s="89"/>
      <c r="J6" s="62"/>
      <c r="K6" s="90"/>
      <c r="L6" s="60"/>
      <c r="M6" s="90"/>
      <c r="N6" s="60"/>
      <c r="O6" s="90"/>
      <c r="P6" s="74">
        <v>1</v>
      </c>
      <c r="Q6" s="59"/>
      <c r="R6" s="3">
        <f t="shared" si="0"/>
        <v>85</v>
      </c>
      <c r="S6" s="4" t="s">
        <v>107</v>
      </c>
    </row>
    <row r="7" spans="1:21" ht="15" customHeight="1" thickBot="1">
      <c r="A7" s="1" t="s">
        <v>108</v>
      </c>
      <c r="B7" s="67"/>
      <c r="C7" s="68"/>
      <c r="D7" s="86">
        <v>2</v>
      </c>
      <c r="E7" s="87"/>
      <c r="F7" s="94"/>
      <c r="G7" s="95"/>
      <c r="H7" s="106">
        <v>74</v>
      </c>
      <c r="I7" s="103"/>
      <c r="J7" s="116"/>
      <c r="K7" s="82"/>
      <c r="L7" s="81"/>
      <c r="M7" s="82"/>
      <c r="N7" s="81"/>
      <c r="O7" s="82"/>
      <c r="P7" s="86">
        <v>1</v>
      </c>
      <c r="Q7" s="87"/>
      <c r="R7" s="3">
        <f t="shared" si="0"/>
        <v>77</v>
      </c>
      <c r="S7" s="4" t="s">
        <v>108</v>
      </c>
    </row>
    <row r="8" spans="1:21" ht="15" customHeight="1" thickBot="1">
      <c r="A8" s="8" t="s">
        <v>109</v>
      </c>
      <c r="B8" s="73">
        <v>34</v>
      </c>
      <c r="C8" s="71"/>
      <c r="D8" s="53"/>
      <c r="E8" s="53"/>
      <c r="F8" s="49"/>
      <c r="G8" s="50"/>
      <c r="H8" s="69"/>
      <c r="I8" s="69"/>
      <c r="J8" s="70"/>
      <c r="K8" s="71"/>
      <c r="L8" s="53"/>
      <c r="M8" s="53"/>
      <c r="N8" s="72"/>
      <c r="O8" s="72"/>
      <c r="P8" s="53"/>
      <c r="Q8" s="53"/>
      <c r="R8" s="9">
        <f t="shared" si="0"/>
        <v>34</v>
      </c>
      <c r="S8" s="10" t="s">
        <v>109</v>
      </c>
    </row>
    <row r="9" spans="1:21" ht="15" customHeight="1" thickBot="1">
      <c r="A9" s="1" t="s">
        <v>110</v>
      </c>
      <c r="B9" s="112"/>
      <c r="C9" s="113"/>
      <c r="D9" s="107"/>
      <c r="E9" s="57"/>
      <c r="F9" s="107"/>
      <c r="G9" s="57"/>
      <c r="H9" s="107"/>
      <c r="I9" s="108"/>
      <c r="J9" s="56"/>
      <c r="K9" s="57"/>
      <c r="L9" s="117">
        <v>3</v>
      </c>
      <c r="M9" s="118"/>
      <c r="N9" s="51">
        <v>8</v>
      </c>
      <c r="O9" s="52"/>
      <c r="P9" s="56"/>
      <c r="Q9" s="57"/>
      <c r="R9" s="3">
        <f t="shared" si="0"/>
        <v>11</v>
      </c>
      <c r="S9" s="4" t="s">
        <v>110</v>
      </c>
    </row>
    <row r="10" spans="1:21" ht="15" customHeight="1" thickBot="1">
      <c r="A10" s="1" t="s">
        <v>111</v>
      </c>
      <c r="B10" s="58"/>
      <c r="C10" s="59"/>
      <c r="D10" s="60"/>
      <c r="E10" s="90"/>
      <c r="F10" s="58"/>
      <c r="G10" s="59"/>
      <c r="H10" s="60"/>
      <c r="I10" s="61"/>
      <c r="J10" s="62"/>
      <c r="K10" s="62"/>
      <c r="L10" s="63">
        <v>10</v>
      </c>
      <c r="M10" s="64"/>
      <c r="N10" s="65">
        <v>2</v>
      </c>
      <c r="O10" s="66"/>
      <c r="P10" s="67"/>
      <c r="Q10" s="68"/>
      <c r="R10" s="3">
        <f t="shared" si="0"/>
        <v>12</v>
      </c>
      <c r="S10" s="4" t="s">
        <v>111</v>
      </c>
    </row>
    <row r="11" spans="1:21" ht="14.4" thickBot="1">
      <c r="A11" s="1" t="s">
        <v>112</v>
      </c>
      <c r="B11" s="74">
        <v>8</v>
      </c>
      <c r="C11" s="59"/>
      <c r="D11" s="74">
        <v>1</v>
      </c>
      <c r="E11" s="59"/>
      <c r="F11" s="74">
        <v>7</v>
      </c>
      <c r="G11" s="59"/>
      <c r="H11" s="74">
        <v>7</v>
      </c>
      <c r="I11" s="75"/>
      <c r="J11" s="76">
        <v>6</v>
      </c>
      <c r="K11" s="59"/>
      <c r="L11" s="77">
        <v>6</v>
      </c>
      <c r="M11" s="66"/>
      <c r="N11" s="74">
        <v>8</v>
      </c>
      <c r="O11" s="78"/>
      <c r="P11" s="73">
        <v>3</v>
      </c>
      <c r="Q11" s="71"/>
      <c r="R11" s="6">
        <f t="shared" si="0"/>
        <v>46</v>
      </c>
      <c r="S11" s="4" t="s">
        <v>112</v>
      </c>
    </row>
    <row r="12" spans="1:21">
      <c r="A12" s="11" t="s">
        <v>102</v>
      </c>
      <c r="B12" s="79">
        <f>SUM(B2:B11)</f>
        <v>118</v>
      </c>
      <c r="C12" s="80"/>
      <c r="D12" s="79">
        <f>SUM(D2:D11)</f>
        <v>117</v>
      </c>
      <c r="E12" s="80"/>
      <c r="F12" s="79">
        <f>SUM(F2:F11)</f>
        <v>91</v>
      </c>
      <c r="G12" s="80"/>
      <c r="H12" s="79">
        <f>SUM(H2:H11)</f>
        <v>81</v>
      </c>
      <c r="I12" s="114"/>
      <c r="J12" s="115">
        <f>SUM(J2:J11)</f>
        <v>97</v>
      </c>
      <c r="K12" s="80"/>
      <c r="L12" s="79">
        <f>SUM(L2:L11)</f>
        <v>40</v>
      </c>
      <c r="M12" s="80"/>
      <c r="N12" s="79">
        <f>SUM(N2:N11)</f>
        <v>83</v>
      </c>
      <c r="O12" s="80"/>
      <c r="P12" s="54">
        <f>SUM(P2:P11)</f>
        <v>23</v>
      </c>
      <c r="Q12" s="55"/>
      <c r="R12" s="11">
        <f>SUM(B12:Q12)</f>
        <v>650</v>
      </c>
      <c r="S12" s="13"/>
    </row>
    <row r="13" spans="1:21">
      <c r="A13" s="14"/>
      <c r="B13" s="48"/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12">
        <f>SUM(B13:Q13)</f>
        <v>0</v>
      </c>
    </row>
    <row r="14" spans="1:21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</row>
  </sheetData>
  <mergeCells count="104">
    <mergeCell ref="B1:C1"/>
    <mergeCell ref="B2:C2"/>
    <mergeCell ref="B3:C3"/>
    <mergeCell ref="B4:C4"/>
    <mergeCell ref="B5:C5"/>
    <mergeCell ref="B7:C7"/>
    <mergeCell ref="B6:C6"/>
    <mergeCell ref="D1:E1"/>
    <mergeCell ref="D10:E10"/>
    <mergeCell ref="D9:E9"/>
    <mergeCell ref="B8:C8"/>
    <mergeCell ref="B9:C9"/>
    <mergeCell ref="B10:C10"/>
    <mergeCell ref="B13:C13"/>
    <mergeCell ref="D2:E2"/>
    <mergeCell ref="F2:G2"/>
    <mergeCell ref="H2:I2"/>
    <mergeCell ref="F3:G3"/>
    <mergeCell ref="D4:E4"/>
    <mergeCell ref="D8:E8"/>
    <mergeCell ref="D3:E3"/>
    <mergeCell ref="D5:E5"/>
    <mergeCell ref="F5:G5"/>
    <mergeCell ref="H5:I5"/>
    <mergeCell ref="H7:I7"/>
    <mergeCell ref="F9:G9"/>
    <mergeCell ref="H9:I9"/>
    <mergeCell ref="D11:E11"/>
    <mergeCell ref="B11:C11"/>
    <mergeCell ref="B12:C12"/>
    <mergeCell ref="D12:E12"/>
    <mergeCell ref="F12:G12"/>
    <mergeCell ref="H12:I12"/>
    <mergeCell ref="F1:G1"/>
    <mergeCell ref="H1:I1"/>
    <mergeCell ref="J1:K1"/>
    <mergeCell ref="L1:M1"/>
    <mergeCell ref="N1:O1"/>
    <mergeCell ref="P1:Q1"/>
    <mergeCell ref="P2:Q2"/>
    <mergeCell ref="P3:Q3"/>
    <mergeCell ref="P4:Q4"/>
    <mergeCell ref="F4:G4"/>
    <mergeCell ref="J2:K2"/>
    <mergeCell ref="L2:M2"/>
    <mergeCell ref="N2:O2"/>
    <mergeCell ref="H3:I3"/>
    <mergeCell ref="J3:K3"/>
    <mergeCell ref="L3:M3"/>
    <mergeCell ref="P7:Q7"/>
    <mergeCell ref="D6:E6"/>
    <mergeCell ref="F6:G6"/>
    <mergeCell ref="H6:I6"/>
    <mergeCell ref="J6:K6"/>
    <mergeCell ref="L6:M6"/>
    <mergeCell ref="N6:O6"/>
    <mergeCell ref="P5:Q5"/>
    <mergeCell ref="P6:Q6"/>
    <mergeCell ref="J5:K5"/>
    <mergeCell ref="L5:M5"/>
    <mergeCell ref="N5:O5"/>
    <mergeCell ref="D7:E7"/>
    <mergeCell ref="F7:G7"/>
    <mergeCell ref="J7:K7"/>
    <mergeCell ref="L7:M7"/>
    <mergeCell ref="H11:I11"/>
    <mergeCell ref="J11:K11"/>
    <mergeCell ref="L11:M11"/>
    <mergeCell ref="N11:O11"/>
    <mergeCell ref="N12:O12"/>
    <mergeCell ref="N7:O7"/>
    <mergeCell ref="N3:O3"/>
    <mergeCell ref="H4:I4"/>
    <mergeCell ref="J4:K4"/>
    <mergeCell ref="L4:M4"/>
    <mergeCell ref="N4:O4"/>
    <mergeCell ref="J12:K12"/>
    <mergeCell ref="L12:M12"/>
    <mergeCell ref="J9:K9"/>
    <mergeCell ref="L9:M9"/>
    <mergeCell ref="P13:Q13"/>
    <mergeCell ref="D13:E13"/>
    <mergeCell ref="F13:G13"/>
    <mergeCell ref="H13:I13"/>
    <mergeCell ref="J13:K13"/>
    <mergeCell ref="L13:M13"/>
    <mergeCell ref="N13:O13"/>
    <mergeCell ref="F8:G8"/>
    <mergeCell ref="N9:O9"/>
    <mergeCell ref="P8:Q8"/>
    <mergeCell ref="P12:Q12"/>
    <mergeCell ref="P9:Q9"/>
    <mergeCell ref="F10:G10"/>
    <mergeCell ref="H10:I10"/>
    <mergeCell ref="J10:K10"/>
    <mergeCell ref="L10:M10"/>
    <mergeCell ref="N10:O10"/>
    <mergeCell ref="P10:Q10"/>
    <mergeCell ref="H8:I8"/>
    <mergeCell ref="J8:K8"/>
    <mergeCell ref="L8:M8"/>
    <mergeCell ref="N8:O8"/>
    <mergeCell ref="P11:Q11"/>
    <mergeCell ref="F11:G11"/>
  </mergeCells>
  <phoneticPr fontId="8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3"/>
  <sheetViews>
    <sheetView topLeftCell="A9" workbookViewId="0"/>
  </sheetViews>
  <sheetFormatPr defaultRowHeight="13.8"/>
  <cols>
    <col min="6" max="6" width="13.5546875" style="16"/>
  </cols>
  <sheetData>
    <row r="1" spans="1:7">
      <c r="A1" s="15" t="s">
        <v>113</v>
      </c>
      <c r="B1" s="15" t="s">
        <v>114</v>
      </c>
      <c r="C1" s="15" t="s">
        <v>115</v>
      </c>
      <c r="D1" s="15" t="s">
        <v>116</v>
      </c>
      <c r="E1" s="15" t="s">
        <v>117</v>
      </c>
      <c r="F1" s="16" t="s">
        <v>118</v>
      </c>
      <c r="G1" t="s">
        <v>119</v>
      </c>
    </row>
    <row r="2" spans="1:7">
      <c r="A2" s="15" t="s">
        <v>120</v>
      </c>
      <c r="B2" s="17" t="s">
        <v>121</v>
      </c>
      <c r="C2" s="15" t="s">
        <v>122</v>
      </c>
      <c r="D2" s="15" t="s">
        <v>123</v>
      </c>
      <c r="E2" s="15" t="s">
        <v>124</v>
      </c>
    </row>
    <row r="3" spans="1:7" s="44" customFormat="1">
      <c r="A3" s="18" t="s">
        <v>125</v>
      </c>
      <c r="C3" s="19"/>
      <c r="F3" s="20"/>
    </row>
    <row r="4" spans="1:7">
      <c r="A4" t="s">
        <v>126</v>
      </c>
      <c r="B4" t="s">
        <v>127</v>
      </c>
      <c r="C4" s="21" t="s">
        <v>128</v>
      </c>
      <c r="D4" t="s">
        <v>129</v>
      </c>
      <c r="E4" t="s">
        <v>130</v>
      </c>
      <c r="F4" s="16" t="s">
        <v>131</v>
      </c>
      <c r="G4" t="s">
        <v>132</v>
      </c>
    </row>
    <row r="5" spans="1:7">
      <c r="A5" t="s">
        <v>133</v>
      </c>
      <c r="B5" t="s">
        <v>134</v>
      </c>
      <c r="C5" t="s">
        <v>134</v>
      </c>
      <c r="D5" t="s">
        <v>134</v>
      </c>
      <c r="E5" t="s">
        <v>135</v>
      </c>
      <c r="F5" s="16" t="s">
        <v>131</v>
      </c>
    </row>
    <row r="6" spans="1:7">
      <c r="C6" s="22"/>
    </row>
    <row r="7" spans="1:7">
      <c r="A7" t="s">
        <v>126</v>
      </c>
      <c r="B7" t="s">
        <v>127</v>
      </c>
      <c r="C7" s="21" t="s">
        <v>136</v>
      </c>
      <c r="D7" t="s">
        <v>129</v>
      </c>
      <c r="E7" t="s">
        <v>130</v>
      </c>
      <c r="F7" s="16" t="s">
        <v>137</v>
      </c>
    </row>
    <row r="8" spans="1:7">
      <c r="A8" t="s">
        <v>134</v>
      </c>
      <c r="B8" t="s">
        <v>134</v>
      </c>
      <c r="C8" t="s">
        <v>134</v>
      </c>
      <c r="D8" t="s">
        <v>134</v>
      </c>
      <c r="E8" t="s">
        <v>135</v>
      </c>
      <c r="F8" s="16" t="s">
        <v>137</v>
      </c>
      <c r="G8" t="s">
        <v>138</v>
      </c>
    </row>
    <row r="9" spans="1:7" s="45" customFormat="1">
      <c r="A9" s="23" t="s">
        <v>139</v>
      </c>
      <c r="C9" s="24"/>
      <c r="F9" s="25"/>
    </row>
    <row r="10" spans="1:7">
      <c r="A10" t="s">
        <v>126</v>
      </c>
      <c r="B10" t="s">
        <v>140</v>
      </c>
      <c r="C10" s="21" t="s">
        <v>128</v>
      </c>
      <c r="D10" t="s">
        <v>129</v>
      </c>
      <c r="E10" t="s">
        <v>130</v>
      </c>
      <c r="F10" s="16" t="s">
        <v>141</v>
      </c>
      <c r="G10" t="s">
        <v>142</v>
      </c>
    </row>
    <row r="11" spans="1:7">
      <c r="A11" t="s">
        <v>134</v>
      </c>
      <c r="B11" t="s">
        <v>134</v>
      </c>
      <c r="C11" t="s">
        <v>134</v>
      </c>
      <c r="D11" t="s">
        <v>134</v>
      </c>
      <c r="E11" t="s">
        <v>135</v>
      </c>
      <c r="F11" s="16" t="s">
        <v>141</v>
      </c>
    </row>
    <row r="13" spans="1:7">
      <c r="A13" t="s">
        <v>126</v>
      </c>
      <c r="B13" t="s">
        <v>140</v>
      </c>
      <c r="C13" s="21" t="s">
        <v>136</v>
      </c>
      <c r="D13" t="s">
        <v>129</v>
      </c>
      <c r="E13" t="s">
        <v>130</v>
      </c>
      <c r="F13" s="16" t="s">
        <v>143</v>
      </c>
      <c r="G13" t="s">
        <v>144</v>
      </c>
    </row>
    <row r="14" spans="1:7">
      <c r="A14" t="s">
        <v>134</v>
      </c>
      <c r="B14" t="s">
        <v>134</v>
      </c>
      <c r="C14" t="s">
        <v>134</v>
      </c>
      <c r="D14" t="s">
        <v>134</v>
      </c>
      <c r="E14" t="s">
        <v>135</v>
      </c>
      <c r="F14" s="16" t="s">
        <v>143</v>
      </c>
    </row>
    <row r="15" spans="1:7" s="45" customFormat="1">
      <c r="A15" s="23" t="s">
        <v>145</v>
      </c>
      <c r="F15" s="25"/>
    </row>
    <row r="16" spans="1:7">
      <c r="A16" t="s">
        <v>146</v>
      </c>
      <c r="B16" t="s">
        <v>127</v>
      </c>
      <c r="C16" s="21" t="s">
        <v>128</v>
      </c>
      <c r="D16" t="s">
        <v>129</v>
      </c>
      <c r="E16" t="s">
        <v>130</v>
      </c>
      <c r="F16" s="16" t="s">
        <v>147</v>
      </c>
      <c r="G16" t="s">
        <v>301</v>
      </c>
    </row>
    <row r="17" spans="1:7">
      <c r="A17" s="22" t="s">
        <v>134</v>
      </c>
      <c r="B17" s="22" t="s">
        <v>134</v>
      </c>
      <c r="C17" s="22" t="s">
        <v>134</v>
      </c>
      <c r="D17" s="22" t="s">
        <v>134</v>
      </c>
      <c r="E17" t="s">
        <v>135</v>
      </c>
      <c r="F17" s="26" t="s">
        <v>147</v>
      </c>
    </row>
    <row r="18" spans="1:7">
      <c r="A18" t="s">
        <v>134</v>
      </c>
      <c r="B18" t="s">
        <v>134</v>
      </c>
      <c r="C18" t="s">
        <v>134</v>
      </c>
      <c r="D18" t="s">
        <v>148</v>
      </c>
      <c r="E18" t="s">
        <v>130</v>
      </c>
      <c r="F18" s="26" t="s">
        <v>147</v>
      </c>
      <c r="G18" s="22" t="s">
        <v>301</v>
      </c>
    </row>
    <row r="19" spans="1:7">
      <c r="A19" s="22" t="s">
        <v>134</v>
      </c>
      <c r="B19" s="22" t="s">
        <v>134</v>
      </c>
      <c r="C19" s="22" t="s">
        <v>134</v>
      </c>
      <c r="D19" s="22" t="s">
        <v>134</v>
      </c>
      <c r="E19" t="s">
        <v>135</v>
      </c>
      <c r="F19" s="26" t="s">
        <v>147</v>
      </c>
      <c r="G19" s="22"/>
    </row>
    <row r="21" spans="1:7">
      <c r="A21" s="22" t="s">
        <v>146</v>
      </c>
      <c r="B21" s="22" t="s">
        <v>127</v>
      </c>
      <c r="C21" s="27" t="s">
        <v>136</v>
      </c>
      <c r="D21" s="22" t="s">
        <v>129</v>
      </c>
      <c r="E21" s="22" t="s">
        <v>130</v>
      </c>
      <c r="F21" s="26" t="s">
        <v>149</v>
      </c>
      <c r="G21" t="s">
        <v>150</v>
      </c>
    </row>
    <row r="22" spans="1:7">
      <c r="A22" s="22" t="s">
        <v>134</v>
      </c>
      <c r="B22" s="22" t="s">
        <v>134</v>
      </c>
      <c r="C22" s="22" t="s">
        <v>134</v>
      </c>
      <c r="D22" s="22" t="s">
        <v>134</v>
      </c>
      <c r="E22" s="22" t="s">
        <v>135</v>
      </c>
      <c r="F22" s="26" t="s">
        <v>149</v>
      </c>
    </row>
    <row r="23" spans="1:7">
      <c r="A23" s="22" t="s">
        <v>134</v>
      </c>
      <c r="B23" s="22" t="s">
        <v>134</v>
      </c>
      <c r="C23" s="22" t="s">
        <v>134</v>
      </c>
      <c r="D23" s="22" t="s">
        <v>148</v>
      </c>
      <c r="E23" s="22" t="s">
        <v>130</v>
      </c>
      <c r="F23" s="26" t="s">
        <v>149</v>
      </c>
      <c r="G23" t="s">
        <v>150</v>
      </c>
    </row>
    <row r="24" spans="1:7">
      <c r="A24" s="22" t="s">
        <v>134</v>
      </c>
      <c r="B24" s="22" t="s">
        <v>134</v>
      </c>
      <c r="C24" s="22" t="s">
        <v>134</v>
      </c>
      <c r="D24" s="22" t="s">
        <v>134</v>
      </c>
      <c r="E24" s="22" t="s">
        <v>135</v>
      </c>
      <c r="F24" s="26" t="s">
        <v>149</v>
      </c>
    </row>
    <row r="25" spans="1:7" s="46" customFormat="1">
      <c r="A25" s="23" t="s">
        <v>151</v>
      </c>
      <c r="F25" s="28"/>
    </row>
    <row r="26" spans="1:7">
      <c r="A26" s="22" t="s">
        <v>146</v>
      </c>
      <c r="B26" s="22" t="s">
        <v>140</v>
      </c>
      <c r="C26" s="27" t="s">
        <v>128</v>
      </c>
      <c r="D26" s="22" t="s">
        <v>129</v>
      </c>
      <c r="E26" s="22" t="s">
        <v>130</v>
      </c>
      <c r="F26" s="26" t="s">
        <v>152</v>
      </c>
      <c r="G26" t="s">
        <v>153</v>
      </c>
    </row>
    <row r="27" spans="1:7">
      <c r="A27" s="22" t="s">
        <v>134</v>
      </c>
      <c r="B27" s="22" t="s">
        <v>134</v>
      </c>
      <c r="C27" s="22" t="s">
        <v>134</v>
      </c>
      <c r="D27" s="22" t="s">
        <v>134</v>
      </c>
      <c r="E27" s="22" t="s">
        <v>135</v>
      </c>
      <c r="F27" s="26" t="s">
        <v>152</v>
      </c>
    </row>
    <row r="28" spans="1:7">
      <c r="A28" s="22" t="s">
        <v>134</v>
      </c>
      <c r="B28" s="22" t="s">
        <v>134</v>
      </c>
      <c r="C28" s="22" t="s">
        <v>134</v>
      </c>
      <c r="D28" s="22" t="s">
        <v>148</v>
      </c>
      <c r="E28" s="22" t="s">
        <v>130</v>
      </c>
      <c r="F28" s="26" t="s">
        <v>152</v>
      </c>
      <c r="G28" t="s">
        <v>153</v>
      </c>
    </row>
    <row r="29" spans="1:7">
      <c r="A29" s="22" t="s">
        <v>134</v>
      </c>
      <c r="B29" s="22" t="s">
        <v>134</v>
      </c>
      <c r="C29" s="22" t="s">
        <v>134</v>
      </c>
      <c r="D29" s="22" t="s">
        <v>134</v>
      </c>
      <c r="E29" s="22" t="s">
        <v>135</v>
      </c>
      <c r="F29" s="26" t="s">
        <v>152</v>
      </c>
    </row>
    <row r="31" spans="1:7">
      <c r="A31" s="22" t="s">
        <v>146</v>
      </c>
      <c r="B31" s="22" t="s">
        <v>140</v>
      </c>
      <c r="C31" s="27" t="s">
        <v>136</v>
      </c>
      <c r="D31" s="22" t="s">
        <v>129</v>
      </c>
      <c r="E31" s="22" t="s">
        <v>130</v>
      </c>
      <c r="F31" s="26" t="s">
        <v>154</v>
      </c>
    </row>
    <row r="32" spans="1:7">
      <c r="A32" s="22" t="s">
        <v>134</v>
      </c>
      <c r="B32" s="22" t="s">
        <v>134</v>
      </c>
      <c r="C32" s="22" t="s">
        <v>134</v>
      </c>
      <c r="D32" s="22" t="s">
        <v>134</v>
      </c>
      <c r="E32" s="22" t="s">
        <v>135</v>
      </c>
      <c r="F32" s="26" t="s">
        <v>154</v>
      </c>
    </row>
    <row r="33" spans="1:7">
      <c r="A33" s="22" t="s">
        <v>134</v>
      </c>
      <c r="B33" s="22" t="s">
        <v>134</v>
      </c>
      <c r="C33" s="22" t="s">
        <v>134</v>
      </c>
      <c r="D33" s="22" t="s">
        <v>148</v>
      </c>
      <c r="E33" s="22" t="s">
        <v>130</v>
      </c>
      <c r="F33" s="26" t="s">
        <v>154</v>
      </c>
      <c r="G33" t="s">
        <v>155</v>
      </c>
    </row>
    <row r="34" spans="1:7" s="42" customFormat="1">
      <c r="A34" s="29" t="s">
        <v>134</v>
      </c>
      <c r="B34" s="29" t="s">
        <v>134</v>
      </c>
      <c r="C34" s="29" t="s">
        <v>134</v>
      </c>
      <c r="D34" s="29" t="s">
        <v>134</v>
      </c>
      <c r="E34" s="29" t="s">
        <v>135</v>
      </c>
      <c r="F34" s="30" t="s">
        <v>154</v>
      </c>
      <c r="G34" t="s">
        <v>155</v>
      </c>
    </row>
    <row r="35" spans="1:7">
      <c r="B35" s="15" t="s">
        <v>117</v>
      </c>
      <c r="C35" s="15" t="s">
        <v>115</v>
      </c>
      <c r="D35" s="15" t="s">
        <v>116</v>
      </c>
      <c r="E35" s="31" t="s">
        <v>114</v>
      </c>
      <c r="F35" s="32" t="s">
        <v>113</v>
      </c>
    </row>
    <row r="36" spans="1:7">
      <c r="A36" s="33" t="s">
        <v>153</v>
      </c>
      <c r="B36" s="34">
        <v>1</v>
      </c>
      <c r="C36" s="35">
        <v>1</v>
      </c>
      <c r="D36">
        <v>0</v>
      </c>
      <c r="E36" s="36">
        <v>-1</v>
      </c>
      <c r="F36" s="37">
        <v>-1</v>
      </c>
    </row>
    <row r="37" spans="1:7">
      <c r="A37" s="33" t="s">
        <v>301</v>
      </c>
      <c r="B37" s="35">
        <v>1</v>
      </c>
      <c r="C37" s="35">
        <v>1</v>
      </c>
      <c r="D37">
        <v>0</v>
      </c>
      <c r="E37" s="35">
        <v>1</v>
      </c>
      <c r="F37" s="37">
        <v>-1</v>
      </c>
    </row>
    <row r="38" spans="1:7">
      <c r="A38" s="33" t="s">
        <v>155</v>
      </c>
      <c r="B38" s="38">
        <v>-1</v>
      </c>
      <c r="C38" s="38">
        <v>-1</v>
      </c>
      <c r="D38" s="38">
        <v>-1</v>
      </c>
      <c r="E38" s="38">
        <v>-1</v>
      </c>
      <c r="F38" s="37">
        <v>-1</v>
      </c>
    </row>
    <row r="39" spans="1:7">
      <c r="A39" s="33" t="s">
        <v>138</v>
      </c>
      <c r="B39" s="38">
        <v>-1</v>
      </c>
      <c r="C39" s="38">
        <v>-1</v>
      </c>
      <c r="D39" s="35">
        <v>1</v>
      </c>
      <c r="E39" s="35">
        <v>1</v>
      </c>
      <c r="F39" s="39">
        <v>1</v>
      </c>
    </row>
    <row r="40" spans="1:7">
      <c r="A40" s="33" t="s">
        <v>132</v>
      </c>
      <c r="B40" s="35">
        <v>1</v>
      </c>
      <c r="C40" s="35">
        <v>1</v>
      </c>
      <c r="D40" s="35">
        <v>1</v>
      </c>
      <c r="E40" s="35">
        <v>1</v>
      </c>
      <c r="F40" s="39">
        <v>1</v>
      </c>
    </row>
    <row r="41" spans="1:7">
      <c r="A41" s="33" t="s">
        <v>144</v>
      </c>
      <c r="B41" s="35">
        <v>1</v>
      </c>
      <c r="C41" s="38">
        <v>-1</v>
      </c>
      <c r="D41" s="35">
        <v>1</v>
      </c>
      <c r="E41" s="38">
        <v>-1</v>
      </c>
      <c r="F41" s="39">
        <v>1</v>
      </c>
    </row>
    <row r="42" spans="1:7">
      <c r="A42" s="33" t="s">
        <v>150</v>
      </c>
      <c r="B42" s="38">
        <v>-1</v>
      </c>
      <c r="C42" s="38">
        <v>-1</v>
      </c>
      <c r="D42">
        <v>0</v>
      </c>
      <c r="E42" s="35">
        <v>1</v>
      </c>
      <c r="F42" s="37">
        <v>-1</v>
      </c>
    </row>
    <row r="43" spans="1:7">
      <c r="A43" s="33" t="s">
        <v>142</v>
      </c>
      <c r="B43" s="35">
        <v>1</v>
      </c>
      <c r="C43" s="35">
        <v>1</v>
      </c>
      <c r="D43" s="35">
        <v>1</v>
      </c>
      <c r="E43" s="38">
        <v>-1</v>
      </c>
      <c r="F43" s="39">
        <v>1</v>
      </c>
    </row>
  </sheetData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Q14"/>
  <sheetViews>
    <sheetView workbookViewId="0">
      <pane xSplit="1" topLeftCell="B1" activePane="topRight" state="frozen"/>
      <selection pane="topRight" activeCell="AH6" sqref="AH6"/>
    </sheetView>
  </sheetViews>
  <sheetFormatPr defaultColWidth="14.21875" defaultRowHeight="18" customHeight="1"/>
  <cols>
    <col min="1" max="7" width="13.5546875" style="40"/>
    <col min="8" max="8" width="13.5546875" style="47"/>
    <col min="9" max="14" width="13.5546875" style="40"/>
    <col min="15" max="15" width="13.5546875" style="47"/>
    <col min="16" max="43" width="13.5546875" style="40"/>
  </cols>
  <sheetData>
    <row r="1" spans="1:33" ht="13.8">
      <c r="P1" s="40" t="s">
        <v>294</v>
      </c>
    </row>
    <row r="2" spans="1:33" ht="55.2">
      <c r="A2" s="40" t="s">
        <v>156</v>
      </c>
      <c r="B2" s="40" t="s">
        <v>157</v>
      </c>
      <c r="C2" s="40" t="s">
        <v>158</v>
      </c>
      <c r="D2" s="40" t="s">
        <v>159</v>
      </c>
      <c r="E2" s="40" t="s">
        <v>160</v>
      </c>
      <c r="F2" s="40" t="s">
        <v>161</v>
      </c>
      <c r="G2" s="40" t="s">
        <v>162</v>
      </c>
      <c r="H2" s="41" t="s">
        <v>163</v>
      </c>
      <c r="I2" s="40" t="s">
        <v>164</v>
      </c>
      <c r="J2" s="40" t="s">
        <v>165</v>
      </c>
      <c r="K2" s="40" t="s">
        <v>166</v>
      </c>
      <c r="L2" s="40" t="s">
        <v>167</v>
      </c>
      <c r="M2" s="40" t="s">
        <v>168</v>
      </c>
      <c r="N2" s="40" t="s">
        <v>169</v>
      </c>
      <c r="O2" s="41" t="s">
        <v>170</v>
      </c>
      <c r="P2" s="40" t="s">
        <v>171</v>
      </c>
      <c r="R2" s="40" t="s">
        <v>172</v>
      </c>
      <c r="S2" s="40" t="s">
        <v>173</v>
      </c>
      <c r="T2" s="40" t="s">
        <v>174</v>
      </c>
      <c r="U2" s="40" t="s">
        <v>175</v>
      </c>
      <c r="V2" s="40" t="s">
        <v>176</v>
      </c>
      <c r="W2" s="40" t="s">
        <v>177</v>
      </c>
      <c r="X2" s="40" t="s">
        <v>178</v>
      </c>
      <c r="Y2" s="40" t="s">
        <v>179</v>
      </c>
      <c r="Z2" s="40" t="s">
        <v>180</v>
      </c>
      <c r="AA2" s="40" t="s">
        <v>181</v>
      </c>
      <c r="AB2" s="40" t="s">
        <v>182</v>
      </c>
      <c r="AC2" s="40" t="s">
        <v>183</v>
      </c>
      <c r="AD2" s="40" t="s">
        <v>184</v>
      </c>
      <c r="AE2" s="40" t="s">
        <v>185</v>
      </c>
      <c r="AF2" s="40" t="s">
        <v>186</v>
      </c>
      <c r="AG2" s="40" t="s">
        <v>290</v>
      </c>
    </row>
    <row r="3" spans="1:33" ht="41.4">
      <c r="A3" s="40" t="s">
        <v>187</v>
      </c>
      <c r="B3" s="40" t="s">
        <v>188</v>
      </c>
      <c r="C3" s="40" t="s">
        <v>188</v>
      </c>
      <c r="D3" s="40" t="s">
        <v>188</v>
      </c>
      <c r="E3" s="40" t="s">
        <v>188</v>
      </c>
      <c r="F3" s="40" t="s">
        <v>188</v>
      </c>
      <c r="H3" s="41" t="s">
        <v>285</v>
      </c>
      <c r="O3" s="41" t="s">
        <v>284</v>
      </c>
    </row>
    <row r="4" spans="1:33" ht="55.2">
      <c r="A4" s="40" t="s">
        <v>189</v>
      </c>
      <c r="B4" s="40" t="s">
        <v>190</v>
      </c>
      <c r="C4" s="40" t="s">
        <v>190</v>
      </c>
      <c r="D4" s="40" t="s">
        <v>190</v>
      </c>
      <c r="E4" s="40" t="s">
        <v>191</v>
      </c>
      <c r="F4" s="40" t="s">
        <v>191</v>
      </c>
      <c r="G4" s="40" t="s">
        <v>192</v>
      </c>
      <c r="H4" s="41"/>
      <c r="L4" s="40" t="s">
        <v>193</v>
      </c>
      <c r="O4" s="41"/>
      <c r="P4" s="40" t="s">
        <v>194</v>
      </c>
      <c r="R4" s="40" t="s">
        <v>195</v>
      </c>
      <c r="S4" s="40" t="s">
        <v>196</v>
      </c>
      <c r="T4" s="40" t="s">
        <v>197</v>
      </c>
      <c r="U4" s="40" t="s">
        <v>198</v>
      </c>
      <c r="V4" s="40" t="s">
        <v>199</v>
      </c>
      <c r="W4" s="40" t="s">
        <v>200</v>
      </c>
      <c r="X4" s="40" t="s">
        <v>201</v>
      </c>
      <c r="Y4" s="40" t="s">
        <v>202</v>
      </c>
      <c r="AA4" s="40" t="s">
        <v>203</v>
      </c>
      <c r="AC4" s="40" t="s">
        <v>276</v>
      </c>
      <c r="AG4" s="40" t="s">
        <v>291</v>
      </c>
    </row>
    <row r="5" spans="1:33" ht="82.8">
      <c r="A5" s="40" t="s">
        <v>204</v>
      </c>
      <c r="B5" s="40" t="s">
        <v>205</v>
      </c>
      <c r="C5" s="40" t="s">
        <v>205</v>
      </c>
      <c r="D5" s="40" t="s">
        <v>205</v>
      </c>
      <c r="E5" s="40" t="s">
        <v>205</v>
      </c>
      <c r="F5" s="40" t="s">
        <v>205</v>
      </c>
      <c r="G5" s="40" t="s">
        <v>205</v>
      </c>
      <c r="H5" s="41" t="s">
        <v>205</v>
      </c>
      <c r="L5" s="40" t="s">
        <v>206</v>
      </c>
      <c r="O5" s="41" t="s">
        <v>286</v>
      </c>
      <c r="P5" s="40" t="s">
        <v>207</v>
      </c>
      <c r="R5" s="40" t="s">
        <v>208</v>
      </c>
      <c r="U5" s="40" t="s">
        <v>209</v>
      </c>
      <c r="X5" s="40" t="s">
        <v>208</v>
      </c>
      <c r="AA5" s="40" t="s">
        <v>208</v>
      </c>
      <c r="AF5" s="40" t="s">
        <v>280</v>
      </c>
    </row>
    <row r="6" spans="1:33" ht="13.8">
      <c r="A6" s="40" t="s">
        <v>210</v>
      </c>
      <c r="B6" s="40">
        <v>120</v>
      </c>
      <c r="C6" s="40">
        <v>120</v>
      </c>
      <c r="D6" s="40">
        <v>120</v>
      </c>
      <c r="E6" s="40">
        <v>90</v>
      </c>
      <c r="F6" s="40">
        <v>90</v>
      </c>
      <c r="G6" s="40">
        <v>90</v>
      </c>
      <c r="H6" s="41" t="s">
        <v>211</v>
      </c>
      <c r="L6" s="40" t="s">
        <v>212</v>
      </c>
      <c r="O6" s="41" t="s">
        <v>213</v>
      </c>
      <c r="P6" s="40" t="s">
        <v>212</v>
      </c>
      <c r="R6" s="40" t="s">
        <v>214</v>
      </c>
      <c r="U6" s="40" t="s">
        <v>212</v>
      </c>
      <c r="V6" s="40" t="s">
        <v>215</v>
      </c>
      <c r="W6" s="40" t="s">
        <v>216</v>
      </c>
      <c r="X6" s="40" t="s">
        <v>215</v>
      </c>
      <c r="Y6" s="40" t="s">
        <v>215</v>
      </c>
      <c r="Z6" s="40" t="s">
        <v>217</v>
      </c>
      <c r="AA6" s="40" t="s">
        <v>215</v>
      </c>
      <c r="AB6" s="40" t="s">
        <v>215</v>
      </c>
      <c r="AC6" s="40" t="s">
        <v>215</v>
      </c>
      <c r="AD6" s="40" t="s">
        <v>213</v>
      </c>
      <c r="AE6" s="40" t="s">
        <v>218</v>
      </c>
      <c r="AF6" s="40" t="s">
        <v>215</v>
      </c>
      <c r="AG6" s="40" t="s">
        <v>292</v>
      </c>
    </row>
    <row r="7" spans="1:33" ht="69">
      <c r="A7" s="40" t="s">
        <v>219</v>
      </c>
      <c r="B7" s="40" t="s">
        <v>221</v>
      </c>
      <c r="C7" s="40" t="s">
        <v>221</v>
      </c>
      <c r="D7" s="40" t="s">
        <v>221</v>
      </c>
      <c r="E7" s="40" t="s">
        <v>220</v>
      </c>
      <c r="F7" s="40" t="s">
        <v>220</v>
      </c>
      <c r="G7" s="40" t="s">
        <v>222</v>
      </c>
      <c r="H7" s="41" t="s">
        <v>223</v>
      </c>
      <c r="L7" s="40" t="s">
        <v>224</v>
      </c>
      <c r="M7" s="40" t="s">
        <v>225</v>
      </c>
      <c r="N7" s="40" t="s">
        <v>226</v>
      </c>
      <c r="O7" s="41" t="s">
        <v>222</v>
      </c>
      <c r="P7" s="40" t="s">
        <v>227</v>
      </c>
      <c r="R7" s="40" t="s">
        <v>228</v>
      </c>
      <c r="U7" s="40" t="s">
        <v>227</v>
      </c>
      <c r="V7" s="40" t="s">
        <v>222</v>
      </c>
      <c r="W7" s="40" t="s">
        <v>229</v>
      </c>
      <c r="X7" s="40" t="s">
        <v>224</v>
      </c>
      <c r="Y7" s="40" t="s">
        <v>224</v>
      </c>
      <c r="Z7" s="40" t="s">
        <v>226</v>
      </c>
      <c r="AA7" s="40" t="s">
        <v>230</v>
      </c>
      <c r="AB7" s="40" t="s">
        <v>230</v>
      </c>
      <c r="AC7" s="40" t="s">
        <v>230</v>
      </c>
      <c r="AD7" s="40" t="s">
        <v>222</v>
      </c>
      <c r="AE7" s="40" t="s">
        <v>278</v>
      </c>
      <c r="AF7" s="40" t="s">
        <v>279</v>
      </c>
      <c r="AG7" s="40" t="s">
        <v>293</v>
      </c>
    </row>
    <row r="8" spans="1:33" ht="150" customHeight="1">
      <c r="A8" s="40" t="s">
        <v>231</v>
      </c>
      <c r="B8" s="40" t="s">
        <v>232</v>
      </c>
      <c r="C8" s="40" t="s">
        <v>233</v>
      </c>
      <c r="D8" s="40" t="s">
        <v>234</v>
      </c>
      <c r="E8" s="40" t="s">
        <v>235</v>
      </c>
      <c r="F8" s="40" t="s">
        <v>236</v>
      </c>
      <c r="G8" s="40" t="s">
        <v>237</v>
      </c>
      <c r="H8" s="41" t="s">
        <v>289</v>
      </c>
      <c r="L8" s="40" t="s">
        <v>238</v>
      </c>
      <c r="M8" s="40" t="s">
        <v>239</v>
      </c>
      <c r="N8" s="40" t="s">
        <v>240</v>
      </c>
      <c r="O8" s="41"/>
      <c r="P8" s="40" t="s">
        <v>241</v>
      </c>
      <c r="R8" s="40" t="s">
        <v>242</v>
      </c>
      <c r="T8" s="40" t="s">
        <v>295</v>
      </c>
      <c r="U8" s="40" t="s">
        <v>243</v>
      </c>
      <c r="V8" s="40" t="s">
        <v>244</v>
      </c>
      <c r="W8" s="40" t="s">
        <v>245</v>
      </c>
      <c r="X8" s="40" t="s">
        <v>246</v>
      </c>
      <c r="Y8" s="40" t="s">
        <v>247</v>
      </c>
      <c r="AA8" s="40" t="s">
        <v>296</v>
      </c>
      <c r="AB8" s="40" t="s">
        <v>297</v>
      </c>
      <c r="AC8" s="40" t="s">
        <v>298</v>
      </c>
      <c r="AE8" s="40" t="s">
        <v>299</v>
      </c>
    </row>
    <row r="9" spans="1:33" ht="409.6" customHeight="1">
      <c r="A9" s="40" t="s">
        <v>248</v>
      </c>
      <c r="O9" s="41" t="s">
        <v>287</v>
      </c>
    </row>
    <row r="10" spans="1:33" ht="300" customHeight="1">
      <c r="A10" s="40" t="s">
        <v>249</v>
      </c>
      <c r="B10" s="40" t="s">
        <v>250</v>
      </c>
      <c r="C10" s="40" t="s">
        <v>251</v>
      </c>
      <c r="D10" s="40" t="s">
        <v>252</v>
      </c>
      <c r="E10" s="40" t="s">
        <v>253</v>
      </c>
      <c r="F10" s="40" t="s">
        <v>254</v>
      </c>
      <c r="G10" s="40" t="s">
        <v>255</v>
      </c>
      <c r="H10" s="41" t="s">
        <v>288</v>
      </c>
      <c r="I10" s="40" t="s">
        <v>256</v>
      </c>
      <c r="J10" s="40" t="s">
        <v>257</v>
      </c>
      <c r="K10" s="40" t="s">
        <v>258</v>
      </c>
      <c r="L10" s="40" t="s">
        <v>259</v>
      </c>
      <c r="M10" s="40" t="s">
        <v>260</v>
      </c>
      <c r="N10" s="40" t="s">
        <v>261</v>
      </c>
      <c r="P10" s="40" t="s">
        <v>262</v>
      </c>
      <c r="Q10" s="40" t="s">
        <v>263</v>
      </c>
      <c r="R10" s="40" t="s">
        <v>264</v>
      </c>
      <c r="S10" s="40" t="s">
        <v>265</v>
      </c>
      <c r="T10" s="40" t="s">
        <v>266</v>
      </c>
      <c r="U10" s="40" t="s">
        <v>267</v>
      </c>
      <c r="V10" s="40" t="s">
        <v>268</v>
      </c>
      <c r="W10" s="40" t="s">
        <v>269</v>
      </c>
      <c r="X10" s="40" t="s">
        <v>270</v>
      </c>
      <c r="Y10" s="40" t="s">
        <v>271</v>
      </c>
      <c r="Z10" s="40" t="s">
        <v>272</v>
      </c>
      <c r="AA10" s="40" t="s">
        <v>273</v>
      </c>
      <c r="AB10" s="40" t="s">
        <v>274</v>
      </c>
      <c r="AC10" s="40" t="s">
        <v>277</v>
      </c>
      <c r="AD10" s="40" t="s">
        <v>281</v>
      </c>
      <c r="AE10" s="40" t="s">
        <v>282</v>
      </c>
      <c r="AF10" s="40" t="s">
        <v>283</v>
      </c>
    </row>
    <row r="11" spans="1:33" ht="165.6">
      <c r="Y11" s="40" t="s">
        <v>275</v>
      </c>
    </row>
    <row r="14" spans="1:33" ht="13.8"/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新版人物</vt:lpstr>
      <vt:lpstr>议会</vt:lpstr>
      <vt:lpstr>军事思想</vt:lpstr>
      <vt:lpstr>决议设计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楠段 昭乱</cp:lastModifiedBy>
  <dcterms:created xsi:type="dcterms:W3CDTF">2026-05-12T09:06:57Z</dcterms:created>
  <dcterms:modified xsi:type="dcterms:W3CDTF">2026-05-25T03:03:09Z</dcterms:modified>
</cp:coreProperties>
</file>